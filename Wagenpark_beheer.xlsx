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itleg" sheetId="1" state="visible" r:id="rId3"/>
    <sheet name="In gebruik" sheetId="2" state="visible" r:id="rId4"/>
    <sheet name="Afgestoten" sheetId="3" state="visible" r:id="rId5"/>
    <sheet name="Vervangingsplanning" sheetId="4" state="visible" r:id="rId6"/>
    <sheet name="Samenvatting" sheetId="5" state="visible" r:id="rId7"/>
    <sheet name="Parameters" sheetId="6" state="visible" r:id="rId8"/>
    <sheet name="Controlepunten" sheetId="7" state="visible" r:id="rId9"/>
  </sheets>
  <definedNames>
    <definedName function="false" hidden="false" name="p_Aanbet" vbProcedure="false">Parameters!$B$7</definedName>
    <definedName function="false" hidden="false" name="p_AfschrLK" vbProcedure="false">Parameters!$B$13</definedName>
    <definedName function="false" hidden="false" name="p_Belet" vbProcedure="false">Parameters!$B$8</definedName>
    <definedName function="false" hidden="false" name="p_Lease" vbProcedure="false">Parameters!$B$14</definedName>
    <definedName function="false" hidden="false" name="p_LevLK" vbProcedure="false">Parameters!$B$12</definedName>
    <definedName function="false" hidden="false" name="p_Opbouw" vbProcedure="false">Parameters!$B$9</definedName>
    <definedName function="false" hidden="false" name="p_Slot" vbProcedure="false">Parameters!$B$10</definedName>
    <definedName function="false" hidden="false" name="p_SlotJr" vbProcedure="false">Parameters!$B$11</definedName>
    <definedName function="false" hidden="false" name="p_Start" vbProcedure="false">Parameters!$B$5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<sst xmlns="http://schemas.openxmlformats.org/spreadsheetml/2006/main" count="707" uniqueCount="387">
  <si>
    <t xml:space="preserve">Wagenparkbeheer – uitleg</t>
  </si>
  <si>
    <t xml:space="preserve">Tabbladen</t>
  </si>
  <si>
    <t xml:space="preserve">In gebruik – alle voertuigen in gebruik, op volgorde van V-nummer, met kenmerken. Hier wordt gemuteerd (voertuigbeheerder).</t>
  </si>
  <si>
    <t xml:space="preserve">Afgestoten – archief van oude voertuigen met jaar van afstoting.</t>
  </si>
  <si>
    <t xml:space="preserve">Vervangingsplanning – per V-nummer het eerstvolgende vervangingsjaar, de investeringen per jaar en de afschrijvingslasten (financieel adviseur).</t>
  </si>
  <si>
    <t xml:space="preserve">Samenvatting – totalen per jaar: investeringen, afschrijvingslasten, indicatie lease (budgethouder).</t>
  </si>
  <si>
    <t xml:space="preserve">Parameters – standaardbedragen en termijnen. Eén keer aanpassen, alles rekent mee.</t>
  </si>
  <si>
    <t xml:space="preserve">Controlepunten – onduidelijkheden uit het oude overzicht die nog moeten worden uitgezocht.</t>
  </si>
  <si>
    <t xml:space="preserve">Kleuren</t>
  </si>
  <si>
    <t xml:space="preserve">Blauw = invoer · Zwart = berekening · Groen = overgenomen van ander tabblad · Geel = parameter of nog in te vullen.</t>
  </si>
  <si>
    <t xml:space="preserve">Spelregels lease-koop (personenvoertuigen)</t>
  </si>
  <si>
    <t xml:space="preserve">Vervangingsjaar = aanschafjaar + 8. In dat jaar: aanbetaling € 10.000 + belettering € 5.000 + opbouw € 7.000.</t>
  </si>
  <si>
    <t xml:space="preserve">Daarna lease (€ 12.000 per jaar, exploitatie, niet in de investeringen).</t>
  </si>
  <si>
    <t xml:space="preserve">In het 2e jaar na aanschaf: overname/slottermijn € 35.000. Totaal € 57.000 wordt in 6 jaar afgeschreven, vanaf het jaar na overname.</t>
  </si>
  <si>
    <t xml:space="preserve">Voorbeeld: vervanging 2034 → 2034 € 22.000, 2036 € 35.000, afschrijving 2037 t/m 2042 € 9.500 per jaar.</t>
  </si>
  <si>
    <t xml:space="preserve">Spelregels koop (overige voertuigen en machines)</t>
  </si>
  <si>
    <t xml:space="preserve">Vervangingsjaar = aanschafjaar + levensduur. Koopprijs in dat jaar, afschrijving over de levensduur vanaf het jaar erna.</t>
  </si>
  <si>
    <t xml:space="preserve">Muteren</t>
  </si>
  <si>
    <t xml:space="preserve">Nieuw V-nummer: typ op 'In gebruik' in de eerste lege regel direct onder de tabel. De tabel groeit mee, planning en samenvatting rekenen automatisch mee.</t>
  </si>
  <si>
    <t xml:space="preserve">Vervanging van een voertuig: 1) kopieer de oude regel naar onder de tabel op 'Afgestoten' en vul 'Jaar afstoting' in; 2) overschrijf op 'In gebruik' de kenmerken met die van het nieuwe voertuig (V-nummer blijft gelijk), zet het nieuwe aanschafjaar en maak 'Vervangingsjaar handmatig' leeg.</t>
  </si>
  <si>
    <t xml:space="preserve">Afwijkend vervangingsjaar (uitstel of vervroegen): vul kolom W 'Vervangingsjaar handmatig' op 'In gebruik'.</t>
  </si>
  <si>
    <t xml:space="preserve">Regime (Koop / Lease-koop / Doorschuiven) kies je in kolom U. Doorschuiven = geen eigen investering.</t>
  </si>
  <si>
    <t xml:space="preserve">Volgorde houden: sorteer de tabel op V-nummer (filterknop in de kop).</t>
  </si>
  <si>
    <t xml:space="preserve">Jaarlijks actualiseren</t>
  </si>
  <si>
    <t xml:space="preserve">1) Parameters: eerste planjaar + 1. 2) Controleer gemiddelde bedragen. 3) Werk koopprijzen (kolom V) bij. 4) Verwerk vervangingen van het afgelopen jaar.</t>
  </si>
  <si>
    <t xml:space="preserve">Planning en samenvatting tonen 8 jaar vanaf het eerste planjaar. De planning rekent de eerste 80 regels van 'In gebruik' door.</t>
  </si>
  <si>
    <t xml:space="preserve">Voertuigen in gebruik</t>
  </si>
  <si>
    <t xml:space="preserve">Eén regel per V-nummer, op volgorde van V-nummer. Blauw = invoer. Nieuw V-nummer: typ direct onder de tabel, de tabel groeit vanzelf mee. Bij vervanging: oude regel eerst kopiëren naar 'Afgestoten'.</t>
  </si>
  <si>
    <t xml:space="preserve">Kolom R t/m T alleen voor lopende lease-koop. Kolom U t/m W sturen de vervangingsplanning.</t>
  </si>
  <si>
    <t xml:space="preserve">V-nummer</t>
  </si>
  <si>
    <t xml:space="preserve">Kenteken</t>
  </si>
  <si>
    <t xml:space="preserve">Merk</t>
  </si>
  <si>
    <t xml:space="preserve">Model</t>
  </si>
  <si>
    <t xml:space="preserve">Aanschafwijze huidig</t>
  </si>
  <si>
    <t xml:space="preserve">Brandstof</t>
  </si>
  <si>
    <t xml:space="preserve">Onderdeel</t>
  </si>
  <si>
    <t xml:space="preserve">Soort voertuig</t>
  </si>
  <si>
    <t xml:space="preserve">Berijder</t>
  </si>
  <si>
    <t xml:space="preserve">Aanschafjaar (bouwjaar)</t>
  </si>
  <si>
    <t xml:space="preserve">Levensduur (jaar)</t>
  </si>
  <si>
    <t xml:space="preserve">Totaal investering huidig</t>
  </si>
  <si>
    <t xml:space="preserve">Activakaart</t>
  </si>
  <si>
    <t xml:space="preserve">Kredietnummer</t>
  </si>
  <si>
    <t xml:space="preserve">Exploitatienummer</t>
  </si>
  <si>
    <t xml:space="preserve">Leasesom 1 jaar huidig</t>
  </si>
  <si>
    <t xml:space="preserve">Chassisnummer</t>
  </si>
  <si>
    <t xml:space="preserve">Aanbetaling huidig (lease-koop)</t>
  </si>
  <si>
    <t xml:space="preserve">Slottermijn huidig (lease-koop)</t>
  </si>
  <si>
    <t xml:space="preserve">Jaar slottermijn huidig</t>
  </si>
  <si>
    <t xml:space="preserve">Regime volgende vervanging</t>
  </si>
  <si>
    <t xml:space="preserve">Raming koopprijs volgende (koop)</t>
  </si>
  <si>
    <t xml:space="preserve">Vervangingsjaar handmatig (optioneel)</t>
  </si>
  <si>
    <t xml:space="preserve">Toelichting (uit bronbestand)</t>
  </si>
  <si>
    <t xml:space="preserve">Controle-opmerking</t>
  </si>
  <si>
    <t xml:space="preserve">V01</t>
  </si>
  <si>
    <t xml:space="preserve">26-BXG-9</t>
  </si>
  <si>
    <t xml:space="preserve">Scania</t>
  </si>
  <si>
    <t xml:space="preserve">P320</t>
  </si>
  <si>
    <t xml:space="preserve">Koop</t>
  </si>
  <si>
    <t xml:space="preserve">Diesel</t>
  </si>
  <si>
    <t xml:space="preserve">Vrachtwagen</t>
  </si>
  <si>
    <t xml:space="preserve">Herman v Beerendonk</t>
  </si>
  <si>
    <t xml:space="preserve">YS2P6X20005696172</t>
  </si>
  <si>
    <t xml:space="preserve">Standaard aanbesteding / koop bij volgende aanschaf.</t>
  </si>
  <si>
    <t xml:space="preserve">V02</t>
  </si>
  <si>
    <t xml:space="preserve">06-BVN-2</t>
  </si>
  <si>
    <t xml:space="preserve">DAF</t>
  </si>
  <si>
    <t xml:space="preserve">M4EN3</t>
  </si>
  <si>
    <t xml:space="preserve">Rioolvoertuig</t>
  </si>
  <si>
    <t xml:space="preserve">Lau/William</t>
  </si>
  <si>
    <t xml:space="preserve">XLRAEM4100G432765</t>
  </si>
  <si>
    <t xml:space="preserve">V03</t>
  </si>
  <si>
    <t xml:space="preserve">BZ-TZ-45</t>
  </si>
  <si>
    <t xml:space="preserve">MAN</t>
  </si>
  <si>
    <t xml:space="preserve">TGM 18.250 4X4 BB EEV</t>
  </si>
  <si>
    <t xml:space="preserve">STROOIEN</t>
  </si>
  <si>
    <t xml:space="preserve">WMAN38ZZ4CY278745</t>
  </si>
  <si>
    <t xml:space="preserve">Doorschuiven</t>
  </si>
  <si>
    <t xml:space="preserve">V1 wordt doorgeschoven naar V3 in 2032. Dit voertuig wordt na einde afschrijving V1 vervangen door V1. Het oude V3 voertuig wordt dan afgestoten.</t>
  </si>
  <si>
    <t xml:space="preserve">Geen eigen vervanging: V01 schuift in 2032 door naar V03, oude V03 wordt afgestoten. Afschrijftermijn ontbreekt.</t>
  </si>
  <si>
    <t xml:space="preserve">V04</t>
  </si>
  <si>
    <t xml:space="preserve">V-88-FPL</t>
  </si>
  <si>
    <t xml:space="preserve">Volkswagen</t>
  </si>
  <si>
    <t xml:space="preserve">Crafter (Open Laadbak)</t>
  </si>
  <si>
    <t xml:space="preserve">Stratenmakers</t>
  </si>
  <si>
    <t xml:space="preserve">bedrijfsauto</t>
  </si>
  <si>
    <t xml:space="preserve">Marnick/Henry</t>
  </si>
  <si>
    <t xml:space="preserve">WV3ZZZSZ2R9032595</t>
  </si>
  <si>
    <t xml:space="preserve">Lease-koop</t>
  </si>
  <si>
    <t xml:space="preserve">Volgend voertuig wordt aangeschaft obv een lease-koopconstructie.</t>
  </si>
  <si>
    <t xml:space="preserve">V05</t>
  </si>
  <si>
    <t xml:space="preserve">H-872-GK</t>
  </si>
  <si>
    <t xml:space="preserve">Hyundai</t>
  </si>
  <si>
    <t xml:space="preserve">Kona</t>
  </si>
  <si>
    <t xml:space="preserve">Elektrisch</t>
  </si>
  <si>
    <t xml:space="preserve">Kantoor</t>
  </si>
  <si>
    <t xml:space="preserve">personenauto</t>
  </si>
  <si>
    <t xml:space="preserve">Jos / Martin</t>
  </si>
  <si>
    <t xml:space="preserve">KMHK281HFKU031442</t>
  </si>
  <si>
    <t xml:space="preserve">Begroting 2027: opgevoerd als koop in 2029</t>
  </si>
  <si>
    <t xml:space="preserve">Begroting 2027 rekent met KOOP in 2029 (€ 65.000). Hier volgens nieuwe regel lease-koop. Keuze bevestigen.</t>
  </si>
  <si>
    <t xml:space="preserve">V06</t>
  </si>
  <si>
    <t xml:space="preserve">V-70-NRS</t>
  </si>
  <si>
    <t xml:space="preserve">Ford</t>
  </si>
  <si>
    <t xml:space="preserve">Transit E</t>
  </si>
  <si>
    <t xml:space="preserve">Cultuur / Bossen</t>
  </si>
  <si>
    <t xml:space="preserve">Jilles Eikelenboom</t>
  </si>
  <si>
    <t xml:space="preserve">ZFA26300006128328</t>
  </si>
  <si>
    <t xml:space="preserve">Aanbetaling is € 11.000 excl btw, slotbetaling is € 30.000. Begroting 2027, slotbetaling verwerkt</t>
  </si>
  <si>
    <t xml:space="preserve">Chassisnummer gelijk aan afgestoten V98. Controleren.</t>
  </si>
  <si>
    <t xml:space="preserve">V07</t>
  </si>
  <si>
    <t xml:space="preserve">VG-092-L</t>
  </si>
  <si>
    <t xml:space="preserve">Fiat</t>
  </si>
  <si>
    <t xml:space="preserve">Ducato</t>
  </si>
  <si>
    <t xml:space="preserve">Algemene dienst</t>
  </si>
  <si>
    <t xml:space="preserve">Nicolai v/d Heijden</t>
  </si>
  <si>
    <t xml:space="preserve">ZFA25000002508469</t>
  </si>
  <si>
    <t xml:space="preserve">Begroting 2027: opgevoerd als koop in 2027</t>
  </si>
  <si>
    <t xml:space="preserve">Theoretisch vervangen in 2021; begroot als koop in 2027.</t>
  </si>
  <si>
    <t xml:space="preserve">V08</t>
  </si>
  <si>
    <t xml:space="preserve">V-72-NRS</t>
  </si>
  <si>
    <t xml:space="preserve">Jordy / Robbie</t>
  </si>
  <si>
    <t xml:space="preserve">VF3GJ9HXC95290270</t>
  </si>
  <si>
    <t xml:space="preserve">Aanbetaling is € 11.000 excl btw, slotbetaling is € 30.000.Begroting 2027 slotbetaling verwerkt</t>
  </si>
  <si>
    <t xml:space="preserve">Soort 'personenauto' lijkt onjuist (Ford Transit = bedrijfsauto). Chassisnummer gelijk aan afgestoten V93.</t>
  </si>
  <si>
    <t xml:space="preserve">V09</t>
  </si>
  <si>
    <t xml:space="preserve">Z-684-FB</t>
  </si>
  <si>
    <t xml:space="preserve">Volvo</t>
  </si>
  <si>
    <t xml:space="preserve">EX30</t>
  </si>
  <si>
    <t xml:space="preserve">Marco</t>
  </si>
  <si>
    <t xml:space="preserve">Chassisnummer ontbreekt.</t>
  </si>
  <si>
    <t xml:space="preserve">V10</t>
  </si>
  <si>
    <t xml:space="preserve">V-96-LPT</t>
  </si>
  <si>
    <t xml:space="preserve">Renault</t>
  </si>
  <si>
    <t xml:space="preserve">Kangoo Electrisch</t>
  </si>
  <si>
    <t xml:space="preserve">Storingsdienst</t>
  </si>
  <si>
    <t xml:space="preserve">ZFA26300006K81863</t>
  </si>
  <si>
    <t xml:space="preserve">Chassisnummer gelijk aan V14. Controleren.</t>
  </si>
  <si>
    <t xml:space="preserve">V11</t>
  </si>
  <si>
    <t xml:space="preserve">Ranger</t>
  </si>
  <si>
    <t xml:space="preserve">Hybride</t>
  </si>
  <si>
    <t xml:space="preserve">Antoon Kemps</t>
  </si>
  <si>
    <t xml:space="preserve">Aanbetaling is € 11.000 excl btw, slotbetaling is € 35.500, Begroting 2027 slotbetaling verwerkt.</t>
  </si>
  <si>
    <t xml:space="preserve">Kenteken en chassisnummer ontbreken.</t>
  </si>
  <si>
    <t xml:space="preserve">V12</t>
  </si>
  <si>
    <t xml:space="preserve">V-05-JGK</t>
  </si>
  <si>
    <t xml:space="preserve">Mercedes</t>
  </si>
  <si>
    <t xml:space="preserve">E-sprinter</t>
  </si>
  <si>
    <t xml:space="preserve">Groen</t>
  </si>
  <si>
    <t xml:space="preserve">Addry v Oorschot</t>
  </si>
  <si>
    <t xml:space="preserve">W1V3UBFZ5SP767543</t>
  </si>
  <si>
    <t xml:space="preserve">V13</t>
  </si>
  <si>
    <t xml:space="preserve">V-708-FT</t>
  </si>
  <si>
    <t xml:space="preserve">Wil van Dal</t>
  </si>
  <si>
    <t xml:space="preserve">ZFA25000002D82946</t>
  </si>
  <si>
    <t xml:space="preserve">Begroting: opgevoerd als koop in 2027</t>
  </si>
  <si>
    <t xml:space="preserve">Theoretisch vervangen in 2025; begroot als koop in 2027.</t>
  </si>
  <si>
    <t xml:space="preserve">V14</t>
  </si>
  <si>
    <t xml:space="preserve">V-603-LV</t>
  </si>
  <si>
    <t xml:space="preserve">Doblo</t>
  </si>
  <si>
    <t xml:space="preserve">Speelt/groen</t>
  </si>
  <si>
    <t xml:space="preserve">Ruud Liebrechts</t>
  </si>
  <si>
    <t xml:space="preserve">Bron zegt 'werkelijk vervangen in 2026', maar staat nog in gebruik. Chassisnummer gelijk aan V10.</t>
  </si>
  <si>
    <t xml:space="preserve">V15</t>
  </si>
  <si>
    <t xml:space="preserve">Transit Custom</t>
  </si>
  <si>
    <t xml:space="preserve">Garage</t>
  </si>
  <si>
    <t xml:space="preserve">Pascal Jonkman</t>
  </si>
  <si>
    <t xml:space="preserve">Aanbetaling is € 11.000 excl btw, slotbetaling is € 30.000. Begroting 2027: slotbetaling verwerkt</t>
  </si>
  <si>
    <t xml:space="preserve">V16</t>
  </si>
  <si>
    <t xml:space="preserve">Sport</t>
  </si>
  <si>
    <t xml:space="preserve">Mark Oerlemans</t>
  </si>
  <si>
    <t xml:space="preserve">Aanbetaling is € 13.310 incl btw, slotbetaling is € 36.300. Begroting 2027 slotbetaling verwerkt</t>
  </si>
  <si>
    <t xml:space="preserve">Aanbetaling en slottermijn zijn INCL. btw; de rest is excl. btw.</t>
  </si>
  <si>
    <t xml:space="preserve">V17</t>
  </si>
  <si>
    <t xml:space="preserve">V-73-NRS</t>
  </si>
  <si>
    <t xml:space="preserve">Timmerman</t>
  </si>
  <si>
    <t xml:space="preserve">Arie v Dijk</t>
  </si>
  <si>
    <t xml:space="preserve">ZFA26300006128325</t>
  </si>
  <si>
    <t xml:space="preserve">Chassisnummer gelijk aan afgestoten V97. Controleren.</t>
  </si>
  <si>
    <t xml:space="preserve">V18</t>
  </si>
  <si>
    <t xml:space="preserve">T-63-FGV</t>
  </si>
  <si>
    <t xml:space="preserve">Fendt</t>
  </si>
  <si>
    <t xml:space="preserve">209S</t>
  </si>
  <si>
    <t xml:space="preserve">tractor</t>
  </si>
  <si>
    <t xml:space="preserve">x</t>
  </si>
  <si>
    <t xml:space="preserve">E26162</t>
  </si>
  <si>
    <t xml:space="preserve">V19</t>
  </si>
  <si>
    <t xml:space="preserve">TBK-67-P</t>
  </si>
  <si>
    <t xml:space="preserve">New Holland</t>
  </si>
  <si>
    <t xml:space="preserve">BOOMER 3050 DB (DBCCSC)</t>
  </si>
  <si>
    <t xml:space="preserve">Divers</t>
  </si>
  <si>
    <t xml:space="preserve">ZBDB19065</t>
  </si>
  <si>
    <t xml:space="preserve">V20</t>
  </si>
  <si>
    <t xml:space="preserve">TDT-42-X</t>
  </si>
  <si>
    <t xml:space="preserve">Kubota</t>
  </si>
  <si>
    <t xml:space="preserve">Model en kredietnummer ontbreken.</t>
  </si>
  <si>
    <t xml:space="preserve">V21</t>
  </si>
  <si>
    <t xml:space="preserve">T-80-GGN</t>
  </si>
  <si>
    <t xml:space="preserve">BOOMER NH 55CAB (DBCCSC)</t>
  </si>
  <si>
    <t xml:space="preserve">V24</t>
  </si>
  <si>
    <t xml:space="preserve">geen kenteken</t>
  </si>
  <si>
    <t xml:space="preserve">EP</t>
  </si>
  <si>
    <t xml:space="preserve">Heftruck LI-ION 15 Electrisch  CPD15TVL</t>
  </si>
  <si>
    <t xml:space="preserve">Werf</t>
  </si>
  <si>
    <t xml:space="preserve">vorkheftruck</t>
  </si>
  <si>
    <t xml:space="preserve">V25</t>
  </si>
  <si>
    <t xml:space="preserve">Heli</t>
  </si>
  <si>
    <t xml:space="preserve">Diesel Heftruck</t>
  </si>
  <si>
    <t xml:space="preserve">01030A6594</t>
  </si>
  <si>
    <t xml:space="preserve">Aanschaf 2007; vervanging uitgesteld naar 2028.</t>
  </si>
  <si>
    <t xml:space="preserve">V26</t>
  </si>
  <si>
    <t xml:space="preserve">RG-730-S</t>
  </si>
  <si>
    <t xml:space="preserve">Zoe Gemeentehuis</t>
  </si>
  <si>
    <t xml:space="preserve">Algemeen</t>
  </si>
  <si>
    <t xml:space="preserve">Dienstauto</t>
  </si>
  <si>
    <t xml:space="preserve">VF3GJKFWC95250147</t>
  </si>
  <si>
    <t xml:space="preserve">Begroting 2027 verwerkt als koop. Volgend voertuig wordt aangeschaft obv een lease-koopconstructie.</t>
  </si>
  <si>
    <t xml:space="preserve">Begroting 2027: koop in 2027. Vervanging daarna via lease-koop.</t>
  </si>
  <si>
    <t xml:space="preserve">V27</t>
  </si>
  <si>
    <t xml:space="preserve">PX-814-X</t>
  </si>
  <si>
    <t xml:space="preserve">Handhaving</t>
  </si>
  <si>
    <t xml:space="preserve">VF1AGVYF058298996</t>
  </si>
  <si>
    <t xml:space="preserve">V28</t>
  </si>
  <si>
    <t xml:space="preserve">KGN-02-Z</t>
  </si>
  <si>
    <t xml:space="preserve">Opel</t>
  </si>
  <si>
    <t xml:space="preserve">Mokka ev 115kw</t>
  </si>
  <si>
    <t xml:space="preserve">Veiligheid</t>
  </si>
  <si>
    <t xml:space="preserve">BOA</t>
  </si>
  <si>
    <t xml:space="preserve">Slotbetaling verwerkt in begroting 2027</t>
  </si>
  <si>
    <t xml:space="preserve">Aanbetaling en slottermijn onbekend: invullen in kolom R en S.</t>
  </si>
  <si>
    <t xml:space="preserve">V29</t>
  </si>
  <si>
    <t xml:space="preserve">X-385-DH</t>
  </si>
  <si>
    <t xml:space="preserve">ID3</t>
  </si>
  <si>
    <t xml:space="preserve">WVWZZZE19RP001638</t>
  </si>
  <si>
    <t xml:space="preserve">Afgestoten voertuigen</t>
  </si>
  <si>
    <t xml:space="preserve">Archief. Bij vervanging: kopieer de regel uit 'In gebruik' naar onder deze tabel en vul het jaar van afstoting in.</t>
  </si>
  <si>
    <t xml:space="preserve">Aanschafwijze</t>
  </si>
  <si>
    <t xml:space="preserve">Totaal investering</t>
  </si>
  <si>
    <t xml:space="preserve">Jaar afstoting</t>
  </si>
  <si>
    <t xml:space="preserve">Opmerking</t>
  </si>
  <si>
    <t xml:space="preserve">VH-073-L</t>
  </si>
  <si>
    <t xml:space="preserve">Amarok</t>
  </si>
  <si>
    <t xml:space="preserve">WV1ZZZ2HZEH012489</t>
  </si>
  <si>
    <t xml:space="preserve">Opgevolgd door huidige V11.</t>
  </si>
  <si>
    <t xml:space="preserve">V-138-DP</t>
  </si>
  <si>
    <t xml:space="preserve">Trafic</t>
  </si>
  <si>
    <t xml:space="preserve">VF1FL000356745538</t>
  </si>
  <si>
    <t xml:space="preserve">Opgevolgd door huidige V15.</t>
  </si>
  <si>
    <t xml:space="preserve">VG-093-L</t>
  </si>
  <si>
    <t xml:space="preserve">ZFA25000002508608</t>
  </si>
  <si>
    <t xml:space="preserve">Opgevolgd door huidige V16.</t>
  </si>
  <si>
    <t xml:space="preserve">PR-058-F</t>
  </si>
  <si>
    <t xml:space="preserve">Mokka X</t>
  </si>
  <si>
    <t xml:space="preserve">Benzine</t>
  </si>
  <si>
    <t xml:space="preserve">W0LJC7E89HB204443</t>
  </si>
  <si>
    <t xml:space="preserve">Opgevolgd door huidige V28.</t>
  </si>
  <si>
    <t xml:space="preserve">V93</t>
  </si>
  <si>
    <t xml:space="preserve">58-XN-GS</t>
  </si>
  <si>
    <t xml:space="preserve">Peugeot</t>
  </si>
  <si>
    <t xml:space="preserve">Partner</t>
  </si>
  <si>
    <t xml:space="preserve">Chassisnummer stond in kolom toelichting. Zelfde chassisnummer als huidige V08: controleren.</t>
  </si>
  <si>
    <t xml:space="preserve">V94</t>
  </si>
  <si>
    <t xml:space="preserve">05-SZ-NF</t>
  </si>
  <si>
    <t xml:space="preserve">Tijdelijk kantoor</t>
  </si>
  <si>
    <t xml:space="preserve">John Beerens</t>
  </si>
  <si>
    <t xml:space="preserve">6971005/434335/M05SZNF</t>
  </si>
  <si>
    <t xml:space="preserve">VF3GJ9HWC95219947</t>
  </si>
  <si>
    <t xml:space="preserve">Jaar afstoting onbekend (bron: x). Aanvullen.</t>
  </si>
  <si>
    <t xml:space="preserve">V95</t>
  </si>
  <si>
    <t xml:space="preserve">TFN-07-R</t>
  </si>
  <si>
    <t xml:space="preserve">Matec Terberg</t>
  </si>
  <si>
    <t xml:space="preserve">City Cat 5006 XL</t>
  </si>
  <si>
    <t xml:space="preserve">Veegwagen</t>
  </si>
  <si>
    <t xml:space="preserve">veegwagen</t>
  </si>
  <si>
    <t xml:space="preserve">William vd Boomen</t>
  </si>
  <si>
    <t xml:space="preserve">6210601/434335</t>
  </si>
  <si>
    <t xml:space="preserve">TEBC50AF3FKSN7123</t>
  </si>
  <si>
    <t xml:space="preserve">V96</t>
  </si>
  <si>
    <t xml:space="preserve">VG-683-L</t>
  </si>
  <si>
    <t xml:space="preserve">Aardgas</t>
  </si>
  <si>
    <t xml:space="preserve">Speelwerktuigen</t>
  </si>
  <si>
    <t xml:space="preserve">Ruud Liebregts</t>
  </si>
  <si>
    <t xml:space="preserve">ZFA26300006128330</t>
  </si>
  <si>
    <t xml:space="preserve">Afstoting 2027 ligt in de toekomst: is dit al gebeurd? Chassis gelijk aan geen huidig voertuig.</t>
  </si>
  <si>
    <t xml:space="preserve">V97</t>
  </si>
  <si>
    <t xml:space="preserve">VG-082-L</t>
  </si>
  <si>
    <t xml:space="preserve">Zelfde chassisnummer als huidige V17: controleren.</t>
  </si>
  <si>
    <t xml:space="preserve">V98</t>
  </si>
  <si>
    <t xml:space="preserve">VG-083-L</t>
  </si>
  <si>
    <t xml:space="preserve">Afstoting 2027 ligt in de toekomst: is dit al gebeurd? Zelfde chassisnummer als huidige V06.</t>
  </si>
  <si>
    <t xml:space="preserve">V99</t>
  </si>
  <si>
    <t xml:space="preserve">VG-094-L</t>
  </si>
  <si>
    <t xml:space="preserve">Ducato (open laadbak)</t>
  </si>
  <si>
    <t xml:space="preserve">TIJDELIJK alg dienst</t>
  </si>
  <si>
    <t xml:space="preserve">Willie v Dal</t>
  </si>
  <si>
    <t xml:space="preserve">6210102/434335</t>
  </si>
  <si>
    <t xml:space="preserve">ZFA25000002518269</t>
  </si>
  <si>
    <t xml:space="preserve">Vervangingsplanning en investeringen</t>
  </si>
  <si>
    <t xml:space="preserve">Alles berekend uit 'In gebruik' en 'Parameters' (niets invullen op dit blad). Eén regel per V-nummer, eerstvolgende vervanging.</t>
  </si>
  <si>
    <t xml:space="preserve">Lease-koop: aanbetaling + belettering + opbouw in vervangingsjaar, slottermijn in jaar overname, afschrijving 6 jaar vanaf jaar na overname. Koop: koopprijs in vervangingsjaar, afschrijving over levensduur vanaf jaar erna. Status 'Over levensduur' = vervanging had al moeten plaatsvinden.</t>
  </si>
  <si>
    <t xml:space="preserve">Doorgerekend: de eerste 80 regels van 'In gebruik'.</t>
  </si>
  <si>
    <t xml:space="preserve">Totaal</t>
  </si>
  <si>
    <t xml:space="preserve">Investeringen per jaar (eerstvolgende vervanging + openstaande slottermijnen)</t>
  </si>
  <si>
    <t xml:space="preserve">Afschrijvingslasten van deze investeringen per jaar</t>
  </si>
  <si>
    <t xml:space="preserve">Regime volgende</t>
  </si>
  <si>
    <t xml:space="preserve">Aanschafjaar huidig</t>
  </si>
  <si>
    <t xml:space="preserve">Levensduur</t>
  </si>
  <si>
    <t xml:space="preserve">Einde econ. levensduur</t>
  </si>
  <si>
    <t xml:space="preserve">Eerstvolgend vervangingsjaar</t>
  </si>
  <si>
    <t xml:space="preserve">Status</t>
  </si>
  <si>
    <t xml:space="preserve">Aanbetaling</t>
  </si>
  <si>
    <t xml:space="preserve">Belettering</t>
  </si>
  <si>
    <t xml:space="preserve">Opbouw</t>
  </si>
  <si>
    <t xml:space="preserve">Slottermijn</t>
  </si>
  <si>
    <t xml:space="preserve">Jaar overname</t>
  </si>
  <si>
    <t xml:space="preserve">Koopprijs</t>
  </si>
  <si>
    <t xml:space="preserve">Totaal investering nieuw</t>
  </si>
  <si>
    <t xml:space="preserve">Afschrijftermijn nieuw</t>
  </si>
  <si>
    <t xml:space="preserve">Afschrijving per jaar</t>
  </si>
  <si>
    <t xml:space="preserve">Start afschrijving</t>
  </si>
  <si>
    <t xml:space="preserve">Jaarlease (info)</t>
  </si>
  <si>
    <t xml:space="preserve">Aanbetaling huidig</t>
  </si>
  <si>
    <t xml:space="preserve">Slottermijn huidig</t>
  </si>
  <si>
    <t xml:space="preserve">Leasesom huidig (info)</t>
  </si>
  <si>
    <t xml:space="preserve">Samenvatting wagenpark (budgethouder / financieel adviseur)</t>
  </si>
  <si>
    <t xml:space="preserve">Bedragen excl. btw tenzij anders vermeld. Alles berekend.</t>
  </si>
  <si>
    <t xml:space="preserve">Aantal voertuigen te vervangen</t>
  </si>
  <si>
    <t xml:space="preserve">Lease-koop nieuw: aanbetaling + belettering + opbouw</t>
  </si>
  <si>
    <t xml:space="preserve">Lease-koop nieuw: slottermijn (overname)</t>
  </si>
  <si>
    <t xml:space="preserve">Lease-koop huidige voertuigen: openstaande slottermijn</t>
  </si>
  <si>
    <t xml:space="preserve">Koop (overige voertuigen en machines)</t>
  </si>
  <si>
    <t xml:space="preserve">Totaal investeringen</t>
  </si>
  <si>
    <t xml:space="preserve">Controle: verschil met Vervangingsplanning (moet - zijn)</t>
  </si>
  <si>
    <t xml:space="preserve">Afschrijvingslasten van bovenstaande investeringen</t>
  </si>
  <si>
    <t xml:space="preserve">Let op: afschrijving van bestaande activa staat in het activaregister en zit hier niet in.</t>
  </si>
  <si>
    <t xml:space="preserve">Indicatie leasekosten (exploitatie, géén investering)</t>
  </si>
  <si>
    <t xml:space="preserve">Jaarlease per voertuig van aanschaf tot overname (parameter, huidige contracten: werkelijke leasesom).</t>
  </si>
  <si>
    <t xml:space="preserve">Aantal voertuigen in gebruik</t>
  </si>
  <si>
    <t xml:space="preserve">  waarvan personenauto</t>
  </si>
  <si>
    <t xml:space="preserve">  waarvan bedrijfsauto</t>
  </si>
  <si>
    <t xml:space="preserve">  waarvan vrachtwagen</t>
  </si>
  <si>
    <t xml:space="preserve">  waarvan Rioolvoertuig</t>
  </si>
  <si>
    <t xml:space="preserve">  waarvan tractor</t>
  </si>
  <si>
    <t xml:space="preserve">  waarvan vorkheftruck</t>
  </si>
  <si>
    <t xml:space="preserve">Aantal 'Over levensduur'</t>
  </si>
  <si>
    <t xml:space="preserve">Parameters wagenpark</t>
  </si>
  <si>
    <t xml:space="preserve">Gele cellen mogen worden aangepast. Alle berekeningen rekenen hiermee.</t>
  </si>
  <si>
    <t xml:space="preserve">Parameter</t>
  </si>
  <si>
    <t xml:space="preserve">Waarde</t>
  </si>
  <si>
    <t xml:space="preserve">Toelichting / bron</t>
  </si>
  <si>
    <t xml:space="preserve">Eerste planjaar (begrotingsjaar)</t>
  </si>
  <si>
    <t xml:space="preserve">Jaarlijks met 1 ophogen bij actualisatie.</t>
  </si>
  <si>
    <t xml:space="preserve">Lease-koop personenvoertuigen (bedragen per voertuig)</t>
  </si>
  <si>
    <t xml:space="preserve">Aanbetaling (in vervangingsjaar)</t>
  </si>
  <si>
    <t xml:space="preserve">Gemiddelde, opgave budgethouder.</t>
  </si>
  <si>
    <t xml:space="preserve">Beletteringskosten (in vervangingsjaar)</t>
  </si>
  <si>
    <t xml:space="preserve">Opbouwkosten (in vervangingsjaar)</t>
  </si>
  <si>
    <t xml:space="preserve">Slottermijn / overname</t>
  </si>
  <si>
    <t xml:space="preserve">Overname in jaar ... na aanschaf</t>
  </si>
  <si>
    <t xml:space="preserve">Overname in 2e jaar na aanschaf.</t>
  </si>
  <si>
    <t xml:space="preserve">Levensduur vanaf aanschaf (jaar)</t>
  </si>
  <si>
    <t xml:space="preserve">Na 8 jaar volgt vervanging.</t>
  </si>
  <si>
    <t xml:space="preserve">Afschrijftermijn na overname (jaar)</t>
  </si>
  <si>
    <t xml:space="preserve">Aanbetaling + belettering + opbouw + slottermijn, start jaar na overname.</t>
  </si>
  <si>
    <t xml:space="preserve">Jaarlease (alleen ter info, exploitatie)</t>
  </si>
  <si>
    <t xml:space="preserve">Niet in investeringen; standaard € 12.000 per jaar.</t>
  </si>
  <si>
    <t xml:space="preserve">Afschrijving start in het jaar na aanschaf, lineair over de levensduur uit 'In gebruik' kolom K.</t>
  </si>
  <si>
    <t xml:space="preserve">Keuzelijst regime</t>
  </si>
  <si>
    <t xml:space="preserve">Controlepunten uit het bronbestand</t>
  </si>
  <si>
    <t xml:space="preserve">Nr</t>
  </si>
  <si>
    <t xml:space="preserve">Bevinding</t>
  </si>
  <si>
    <t xml:space="preserve">Afgehandeld (j/n)</t>
  </si>
  <si>
    <t xml:space="preserve">n</t>
  </si>
  <si>
    <t xml:space="preserve">V93 (afgestoten)</t>
  </si>
  <si>
    <t xml:space="preserve">V94 (afgestoten)</t>
  </si>
  <si>
    <t xml:space="preserve">V95 (afgestoten)</t>
  </si>
  <si>
    <t xml:space="preserve">V96 (afgestoten)</t>
  </si>
  <si>
    <t xml:space="preserve">V97 (afgestoten)</t>
  </si>
  <si>
    <t xml:space="preserve">V98 (afgestoten)</t>
  </si>
  <si>
    <t xml:space="preserve">V99 (afgestoten)</t>
  </si>
  <si>
    <t xml:space="preserve">Jaar slottermijn huidige lease-koop (V06, V08, V11, V15, V16, V17) = aanschafjaar + 2 = 2028. Bron zegt 'begroting 2027 slotbetaling verwerkt'. Controleren of dit 2027 of 2028 is (kolom T op 'In gebruik', formule mag overschreven worden).</t>
  </si>
  <si>
    <t xml:space="preserve">Activakaart ontbreekt bij V05, V06, V11, V14, V20, V24 t/m V28.</t>
  </si>
  <si>
    <t xml:space="preserve">Lease-koop bedragen (aanbetaling, belettering, opbouw, slottermijn) gelden nu ook voor bedrijfsauto's (bestelbussen) met lease-koop. Bevestigen of hiervoor andere gemiddelden gelden.</t>
  </si>
  <si>
    <t xml:space="preserve">Raming koopprijzen (kolom V 'In gebruik') = huidige investering, niet geïndexeerd. Actualiseren bij begroting.</t>
  </si>
  <si>
    <t xml:space="preserve">Uit bron: herijken oude aanschafprijzen i.v.m. leaseconstructie (i.o.m. John Beerens).</t>
  </si>
  <si>
    <t xml:space="preserve">Opschoning</t>
  </si>
  <si>
    <t xml:space="preserve">Schrijfwijze aanschafwijze (Lease-koop) en brandstof (Elektrisch) gelijkgetrokken. '?' en 'nvt' leeg gemaakt. Kenteken 'x' = 'geen kenteken'.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</si>
</sst>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&quot;&quot;"/>
    <numFmt numFmtId="166" formatCode="0"/>
    <numFmt numFmtId="167" formatCode="&quot;€ &quot;#,##0;&quot;-€ &quot;#,##0;\-"/>
    <numFmt numFmtId="168" formatCode="0;\-0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5911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  <fill>
      <patternFill patternType="solid">
        <fgColor rgb="FF548235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9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Afgestoten" displayName="tblAfgestoten" ref="A4:Q15" headerRowCount="1" totalsRowCount="0" totalsRowShown="0">
  <autoFilter ref="A4:Q15"/>
  <tableColumns count="17">
    <tableColumn id="1" name="V-nummer"/>
    <tableColumn id="2" name="Kenteken"/>
    <tableColumn id="3" name="Merk"/>
    <tableColumn id="4" name="Model"/>
    <tableColumn id="5" name="Aanschafwijze"/>
    <tableColumn id="6" name="Brandstof"/>
    <tableColumn id="7" name="Onderdeel"/>
    <tableColumn id="8" name="Soort voertuig"/>
    <tableColumn id="9" name="Berijder"/>
    <tableColumn id="10" name="Aanschafjaar (bouwjaar)"/>
    <tableColumn id="11" name="Levensduur (jaar)"/>
    <tableColumn id="12" name="Totaal investering"/>
    <tableColumn id="13" name="Activakaart"/>
    <tableColumn id="14" name="Kredietnummer"/>
    <tableColumn id="15" name="Chassisnummer"/>
    <tableColumn id="16" name="Jaar afstoting"/>
    <tableColumn id="17" name="Opmerking"/>
  </tableColumns>
</table>
</file>

<file path=xl/tables/table2.xml><?xml version="1.0" encoding="utf-8"?>
<table xmlns="http://schemas.openxmlformats.org/spreadsheetml/2006/main" id="2" name="tblInGebruik" displayName="tblInGebruik" ref="A4:Y31" headerRowCount="1" totalsRowCount="0" totalsRowShown="0">
  <autoFilter ref="A4:Y31"/>
  <tableColumns count="25">
    <tableColumn id="1" name="V-nummer"/>
    <tableColumn id="2" name="Kenteken"/>
    <tableColumn id="3" name="Merk"/>
    <tableColumn id="4" name="Model"/>
    <tableColumn id="5" name="Aanschafwijze huidig"/>
    <tableColumn id="6" name="Brandstof"/>
    <tableColumn id="7" name="Onderdeel"/>
    <tableColumn id="8" name="Soort voertuig"/>
    <tableColumn id="9" name="Berijder"/>
    <tableColumn id="10" name="Aanschafjaar (bouwjaar)"/>
    <tableColumn id="11" name="Levensduur (jaar)"/>
    <tableColumn id="12" name="Totaal investering huidig"/>
    <tableColumn id="13" name="Activakaart"/>
    <tableColumn id="14" name="Kredietnummer"/>
    <tableColumn id="15" name="Exploitatienummer"/>
    <tableColumn id="16" name="Leasesom 1 jaar huidig"/>
    <tableColumn id="17" name="Chassisnummer"/>
    <tableColumn id="18" name="Aanbetaling huidig (lease-koop)"/>
    <tableColumn id="19" name="Slottermijn huidig (lease-koop)"/>
    <tableColumn id="20" name="Jaar slottermijn huidig"/>
    <tableColumn id="21" name="Regime volgende vervanging"/>
    <tableColumn id="22" name="Raming koopprijs volgende (koop)"/>
    <tableColumn id="23" name="Vervangingsjaar handmatig (optioneel)"/>
    <tableColumn id="24" name="Toelichting (uit bronbestand)"/>
    <tableColumn id="25" name="Controle-opmerkin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B3" s="3" t="s">
        <v>1</v>
      </c>
    </row>
    <row r="4" customFormat="false" ht="15" hidden="false" customHeight="false" outlineLevel="0" collapsed="false">
      <c r="B4" s="2" t="s">
        <v>2</v>
      </c>
    </row>
    <row r="5" customFormat="false" ht="15" hidden="false" customHeight="false" outlineLevel="0" collapsed="false">
      <c r="B5" s="2" t="s">
        <v>3</v>
      </c>
    </row>
    <row r="6" customFormat="false" ht="1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 t="s">
        <v>6</v>
      </c>
    </row>
    <row r="9" customFormat="false" ht="15" hidden="false" customHeight="false" outlineLevel="0" collapsed="false">
      <c r="B9" s="2" t="s">
        <v>7</v>
      </c>
    </row>
    <row r="10" customFormat="false" ht="15" hidden="false" customHeight="false" outlineLevel="0" collapsed="false">
      <c r="B10" s="2"/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2" t="s">
        <v>9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 t="s">
        <v>13</v>
      </c>
    </row>
    <row r="18" customFormat="false" ht="15" hidden="false" customHeight="false" outlineLevel="0" collapsed="false">
      <c r="B18" s="2" t="s">
        <v>14</v>
      </c>
    </row>
    <row r="19" customFormat="false" ht="15" hidden="false" customHeight="false" outlineLevel="0" collapsed="false">
      <c r="B19" s="3" t="s">
        <v>15</v>
      </c>
    </row>
    <row r="20" customFormat="false" ht="15" hidden="false" customHeight="false" outlineLevel="0" collapsed="false">
      <c r="B20" s="2" t="s">
        <v>16</v>
      </c>
    </row>
    <row r="21" customFormat="false" ht="15" hidden="false" customHeight="false" outlineLevel="0" collapsed="false">
      <c r="B21" s="2"/>
    </row>
    <row r="22" customFormat="false" ht="15" hidden="false" customHeight="false" outlineLevel="0" collapsed="false">
      <c r="B22" s="3" t="s">
        <v>17</v>
      </c>
    </row>
    <row r="23" customFormat="false" ht="23.85" hidden="false" customHeight="false" outlineLevel="0" collapsed="false">
      <c r="B23" s="2" t="s">
        <v>18</v>
      </c>
    </row>
    <row r="24" customFormat="false" ht="23.85" hidden="false" customHeight="false" outlineLevel="0" collapsed="false">
      <c r="B24" s="2" t="s">
        <v>19</v>
      </c>
    </row>
    <row r="25" customFormat="false" ht="15" hidden="false" customHeight="false" outlineLevel="0" collapsed="false">
      <c r="B25" s="2" t="s">
        <v>20</v>
      </c>
    </row>
    <row r="26" customFormat="false" ht="15" hidden="false" customHeight="false" outlineLevel="0" collapsed="false">
      <c r="B26" s="2" t="s">
        <v>21</v>
      </c>
    </row>
    <row r="27" customFormat="false" ht="15" hidden="false" customHeight="false" outlineLevel="0" collapsed="false">
      <c r="B27" s="2" t="s">
        <v>22</v>
      </c>
    </row>
    <row r="28" customFormat="false" ht="15" hidden="false" customHeight="false" outlineLevel="0" collapsed="false">
      <c r="B28" s="2"/>
    </row>
    <row r="29" customFormat="false" ht="15" hidden="false" customHeight="false" outlineLevel="0" collapsed="false">
      <c r="B29" s="3" t="s">
        <v>23</v>
      </c>
    </row>
    <row r="30" customFormat="false" ht="23.85" hidden="false" customHeight="false" outlineLevel="0" collapsed="false">
      <c r="B30" s="2" t="s">
        <v>24</v>
      </c>
    </row>
    <row r="31" customFormat="false" ht="15" hidden="false" customHeight="false" outlineLevel="0" collapsed="false">
      <c r="B31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6" min="15" style="0" width="12"/>
    <col collapsed="false" customWidth="true" hidden="false" outlineLevel="0" max="17" min="17" style="0" width="21"/>
    <col collapsed="false" customWidth="true" hidden="false" outlineLevel="0" max="19" min="18" style="0" width="12"/>
    <col collapsed="false" customWidth="true" hidden="false" outlineLevel="0" max="20" min="20" style="0" width="11"/>
    <col collapsed="false" customWidth="true" hidden="false" outlineLevel="0" max="23" min="21" style="0" width="13"/>
    <col collapsed="false" customWidth="true" hidden="false" outlineLevel="0" max="25" min="24" style="0" width="50"/>
  </cols>
  <sheetData>
    <row r="1" customFormat="false" ht="17.35" hidden="false" customHeight="false" outlineLevel="0" collapsed="false">
      <c r="A1" s="4" t="s">
        <v>26</v>
      </c>
    </row>
    <row r="2" customFormat="false" ht="15" hidden="false" customHeight="false" outlineLevel="0" collapsed="false">
      <c r="A2" s="5" t="s">
        <v>27</v>
      </c>
    </row>
    <row r="3" customFormat="false" ht="15" hidden="false" customHeight="false" outlineLevel="0" collapsed="false">
      <c r="A3" s="5" t="s">
        <v>28</v>
      </c>
    </row>
    <row r="4" customFormat="false" ht="54" hidden="false" customHeight="true" outlineLevel="0" collapsed="false">
      <c r="A4" s="6" t="s">
        <v>29</v>
      </c>
      <c r="B4" s="6" t="s">
        <v>30</v>
      </c>
      <c r="C4" s="6" t="s">
        <v>31</v>
      </c>
      <c r="D4" s="6" t="s">
        <v>32</v>
      </c>
      <c r="E4" s="6" t="s">
        <v>33</v>
      </c>
      <c r="F4" s="6" t="s">
        <v>34</v>
      </c>
      <c r="G4" s="6" t="s">
        <v>35</v>
      </c>
      <c r="H4" s="6" t="s">
        <v>36</v>
      </c>
      <c r="I4" s="6" t="s">
        <v>37</v>
      </c>
      <c r="J4" s="6" t="s">
        <v>38</v>
      </c>
      <c r="K4" s="6" t="s">
        <v>39</v>
      </c>
      <c r="L4" s="6" t="s">
        <v>40</v>
      </c>
      <c r="M4" s="6" t="s">
        <v>41</v>
      </c>
      <c r="N4" s="6" t="s">
        <v>42</v>
      </c>
      <c r="O4" s="6" t="s">
        <v>43</v>
      </c>
      <c r="P4" s="6" t="s">
        <v>44</v>
      </c>
      <c r="Q4" s="6" t="s">
        <v>45</v>
      </c>
      <c r="R4" s="7" t="s">
        <v>46</v>
      </c>
      <c r="S4" s="7" t="s">
        <v>47</v>
      </c>
      <c r="T4" s="7" t="s">
        <v>48</v>
      </c>
      <c r="U4" s="7" t="s">
        <v>49</v>
      </c>
      <c r="V4" s="7" t="s">
        <v>50</v>
      </c>
      <c r="W4" s="7" t="s">
        <v>51</v>
      </c>
      <c r="X4" s="6" t="s">
        <v>52</v>
      </c>
      <c r="Y4" s="6" t="s">
        <v>53</v>
      </c>
    </row>
    <row r="5" customFormat="false" ht="15" hidden="false" customHeight="false" outlineLevel="0" collapsed="false">
      <c r="A5" s="8" t="s">
        <v>54</v>
      </c>
      <c r="B5" s="8" t="s">
        <v>55</v>
      </c>
      <c r="C5" s="8" t="s">
        <v>56</v>
      </c>
      <c r="D5" s="8" t="s">
        <v>57</v>
      </c>
      <c r="E5" s="8" t="s">
        <v>58</v>
      </c>
      <c r="F5" s="8" t="s">
        <v>59</v>
      </c>
      <c r="G5" s="8" t="s">
        <v>60</v>
      </c>
      <c r="H5" s="8" t="s">
        <v>60</v>
      </c>
      <c r="I5" s="8" t="s">
        <v>61</v>
      </c>
      <c r="J5" s="9" t="n">
        <v>2024</v>
      </c>
      <c r="K5" s="10" t="n">
        <v>8</v>
      </c>
      <c r="L5" s="11" t="n">
        <v>248960</v>
      </c>
      <c r="M5" s="8" t="n">
        <v>119</v>
      </c>
      <c r="N5" s="8" t="n">
        <v>7205037</v>
      </c>
      <c r="O5" s="8"/>
      <c r="P5" s="11"/>
      <c r="Q5" s="8" t="s">
        <v>62</v>
      </c>
      <c r="R5" s="11"/>
      <c r="S5" s="11"/>
      <c r="T5" s="12"/>
      <c r="U5" s="8" t="s">
        <v>58</v>
      </c>
      <c r="V5" s="11" t="n">
        <v>248960</v>
      </c>
      <c r="W5" s="9"/>
      <c r="X5" s="13" t="s">
        <v>63</v>
      </c>
      <c r="Y5" s="2"/>
    </row>
    <row r="6" customFormat="false" ht="15" hidden="false" customHeight="false" outlineLevel="0" collapsed="false">
      <c r="A6" s="8" t="s">
        <v>64</v>
      </c>
      <c r="B6" s="8" t="s">
        <v>65</v>
      </c>
      <c r="C6" s="8" t="s">
        <v>66</v>
      </c>
      <c r="D6" s="8" t="s">
        <v>67</v>
      </c>
      <c r="E6" s="8" t="s">
        <v>58</v>
      </c>
      <c r="F6" s="8" t="s">
        <v>59</v>
      </c>
      <c r="G6" s="8" t="s">
        <v>68</v>
      </c>
      <c r="H6" s="8" t="s">
        <v>68</v>
      </c>
      <c r="I6" s="8" t="s">
        <v>69</v>
      </c>
      <c r="J6" s="9" t="n">
        <v>2023</v>
      </c>
      <c r="K6" s="10" t="n">
        <v>12</v>
      </c>
      <c r="L6" s="11" t="n">
        <v>358180</v>
      </c>
      <c r="M6" s="8" t="n">
        <v>625</v>
      </c>
      <c r="N6" s="8" t="n">
        <v>7205034</v>
      </c>
      <c r="O6" s="8"/>
      <c r="P6" s="11"/>
      <c r="Q6" s="8" t="s">
        <v>70</v>
      </c>
      <c r="R6" s="11"/>
      <c r="S6" s="11"/>
      <c r="T6" s="12"/>
      <c r="U6" s="8" t="s">
        <v>58</v>
      </c>
      <c r="V6" s="11" t="n">
        <v>358180</v>
      </c>
      <c r="W6" s="9"/>
      <c r="X6" s="13" t="s">
        <v>63</v>
      </c>
      <c r="Y6" s="2"/>
    </row>
    <row r="7" customFormat="false" ht="35.05" hidden="false" customHeight="false" outlineLevel="0" collapsed="false">
      <c r="A7" s="8" t="s">
        <v>71</v>
      </c>
      <c r="B7" s="8" t="s">
        <v>72</v>
      </c>
      <c r="C7" s="8" t="s">
        <v>73</v>
      </c>
      <c r="D7" s="8" t="s">
        <v>74</v>
      </c>
      <c r="E7" s="8" t="s">
        <v>58</v>
      </c>
      <c r="F7" s="8" t="s">
        <v>59</v>
      </c>
      <c r="G7" s="8" t="s">
        <v>60</v>
      </c>
      <c r="H7" s="8" t="s">
        <v>60</v>
      </c>
      <c r="I7" s="8" t="s">
        <v>75</v>
      </c>
      <c r="J7" s="9" t="n">
        <v>2012</v>
      </c>
      <c r="K7" s="10"/>
      <c r="L7" s="11"/>
      <c r="M7" s="8"/>
      <c r="N7" s="8"/>
      <c r="O7" s="8"/>
      <c r="P7" s="11"/>
      <c r="Q7" s="8" t="s">
        <v>76</v>
      </c>
      <c r="R7" s="11"/>
      <c r="S7" s="11"/>
      <c r="T7" s="12"/>
      <c r="U7" s="8" t="s">
        <v>77</v>
      </c>
      <c r="V7" s="11"/>
      <c r="W7" s="9" t="n">
        <v>2032</v>
      </c>
      <c r="X7" s="13" t="s">
        <v>78</v>
      </c>
      <c r="Y7" s="2" t="s">
        <v>79</v>
      </c>
    </row>
    <row r="8" customFormat="false" ht="23.85" hidden="false" customHeight="false" outlineLevel="0" collapsed="false">
      <c r="A8" s="8" t="s">
        <v>80</v>
      </c>
      <c r="B8" s="8" t="s">
        <v>81</v>
      </c>
      <c r="C8" s="8" t="s">
        <v>82</v>
      </c>
      <c r="D8" s="8" t="s">
        <v>83</v>
      </c>
      <c r="E8" s="8" t="s">
        <v>58</v>
      </c>
      <c r="F8" s="8" t="s">
        <v>59</v>
      </c>
      <c r="G8" s="8" t="s">
        <v>84</v>
      </c>
      <c r="H8" s="8" t="s">
        <v>85</v>
      </c>
      <c r="I8" s="8" t="s">
        <v>86</v>
      </c>
      <c r="J8" s="9" t="n">
        <v>2024</v>
      </c>
      <c r="K8" s="10" t="n">
        <v>8</v>
      </c>
      <c r="L8" s="11" t="n">
        <v>72896</v>
      </c>
      <c r="M8" s="8" t="n">
        <v>632</v>
      </c>
      <c r="N8" s="8" t="n">
        <v>7205035</v>
      </c>
      <c r="O8" s="8"/>
      <c r="P8" s="11"/>
      <c r="Q8" s="8" t="s">
        <v>87</v>
      </c>
      <c r="R8" s="11"/>
      <c r="S8" s="11"/>
      <c r="T8" s="12"/>
      <c r="U8" s="8" t="s">
        <v>88</v>
      </c>
      <c r="V8" s="11"/>
      <c r="W8" s="9"/>
      <c r="X8" s="13" t="s">
        <v>89</v>
      </c>
      <c r="Y8" s="2"/>
    </row>
    <row r="9" customFormat="false" ht="23.85" hidden="false" customHeight="false" outlineLevel="0" collapsed="false">
      <c r="A9" s="8" t="s">
        <v>90</v>
      </c>
      <c r="B9" s="8" t="s">
        <v>91</v>
      </c>
      <c r="C9" s="8" t="s">
        <v>92</v>
      </c>
      <c r="D9" s="8" t="s">
        <v>93</v>
      </c>
      <c r="E9" s="8" t="s">
        <v>58</v>
      </c>
      <c r="F9" s="8" t="s">
        <v>94</v>
      </c>
      <c r="G9" s="8" t="s">
        <v>95</v>
      </c>
      <c r="H9" s="8" t="s">
        <v>96</v>
      </c>
      <c r="I9" s="8" t="s">
        <v>97</v>
      </c>
      <c r="J9" s="9" t="n">
        <v>2021</v>
      </c>
      <c r="K9" s="10" t="n">
        <v>8</v>
      </c>
      <c r="L9" s="11" t="n">
        <v>65000</v>
      </c>
      <c r="M9" s="8"/>
      <c r="N9" s="8" t="n">
        <v>7205053</v>
      </c>
      <c r="O9" s="8"/>
      <c r="P9" s="11"/>
      <c r="Q9" s="8" t="s">
        <v>98</v>
      </c>
      <c r="R9" s="11"/>
      <c r="S9" s="11"/>
      <c r="T9" s="12"/>
      <c r="U9" s="8" t="s">
        <v>88</v>
      </c>
      <c r="V9" s="11"/>
      <c r="W9" s="9"/>
      <c r="X9" s="13" t="s">
        <v>99</v>
      </c>
      <c r="Y9" s="2" t="s">
        <v>100</v>
      </c>
    </row>
    <row r="10" customFormat="false" ht="23.85" hidden="false" customHeight="false" outlineLevel="0" collapsed="false">
      <c r="A10" s="8" t="s">
        <v>101</v>
      </c>
      <c r="B10" s="8" t="s">
        <v>102</v>
      </c>
      <c r="C10" s="8" t="s">
        <v>103</v>
      </c>
      <c r="D10" s="8" t="s">
        <v>104</v>
      </c>
      <c r="E10" s="8" t="s">
        <v>88</v>
      </c>
      <c r="F10" s="8" t="s">
        <v>94</v>
      </c>
      <c r="G10" s="8" t="s">
        <v>105</v>
      </c>
      <c r="H10" s="8" t="s">
        <v>85</v>
      </c>
      <c r="I10" s="8" t="s">
        <v>106</v>
      </c>
      <c r="J10" s="9" t="n">
        <v>2026</v>
      </c>
      <c r="K10" s="10" t="n">
        <v>8</v>
      </c>
      <c r="L10" s="11" t="n">
        <v>44420</v>
      </c>
      <c r="M10" s="8"/>
      <c r="N10" s="8" t="n">
        <v>7205045</v>
      </c>
      <c r="O10" s="8" t="n">
        <v>635901</v>
      </c>
      <c r="P10" s="11" t="n">
        <v>11786.52</v>
      </c>
      <c r="Q10" s="8" t="s">
        <v>107</v>
      </c>
      <c r="R10" s="11" t="n">
        <v>11000</v>
      </c>
      <c r="S10" s="11" t="n">
        <v>30000</v>
      </c>
      <c r="T10" s="12" t="n">
        <f aca="false">IF(S10&gt;0,J10+p_SlotJr,"")</f>
        <v>2028</v>
      </c>
      <c r="U10" s="8" t="s">
        <v>88</v>
      </c>
      <c r="V10" s="11"/>
      <c r="W10" s="9"/>
      <c r="X10" s="13" t="s">
        <v>108</v>
      </c>
      <c r="Y10" s="2" t="s">
        <v>109</v>
      </c>
    </row>
    <row r="11" customFormat="false" ht="15" hidden="false" customHeight="false" outlineLevel="0" collapsed="false">
      <c r="A11" s="8" t="s">
        <v>110</v>
      </c>
      <c r="B11" s="8" t="s">
        <v>111</v>
      </c>
      <c r="C11" s="8" t="s">
        <v>112</v>
      </c>
      <c r="D11" s="8" t="s">
        <v>113</v>
      </c>
      <c r="E11" s="8" t="s">
        <v>58</v>
      </c>
      <c r="F11" s="8" t="s">
        <v>59</v>
      </c>
      <c r="G11" s="8" t="s">
        <v>114</v>
      </c>
      <c r="H11" s="8" t="s">
        <v>85</v>
      </c>
      <c r="I11" s="8" t="s">
        <v>115</v>
      </c>
      <c r="J11" s="9" t="n">
        <v>2013</v>
      </c>
      <c r="K11" s="10" t="n">
        <v>8</v>
      </c>
      <c r="L11" s="11" t="n">
        <v>65000</v>
      </c>
      <c r="M11" s="8" t="n">
        <v>803</v>
      </c>
      <c r="N11" s="8" t="n">
        <v>7205051</v>
      </c>
      <c r="O11" s="8"/>
      <c r="P11" s="11"/>
      <c r="Q11" s="8" t="s">
        <v>116</v>
      </c>
      <c r="R11" s="11"/>
      <c r="S11" s="11"/>
      <c r="T11" s="12"/>
      <c r="U11" s="8" t="s">
        <v>58</v>
      </c>
      <c r="V11" s="11" t="n">
        <v>65000</v>
      </c>
      <c r="W11" s="9" t="n">
        <v>2027</v>
      </c>
      <c r="X11" s="13" t="s">
        <v>117</v>
      </c>
      <c r="Y11" s="2" t="s">
        <v>118</v>
      </c>
    </row>
    <row r="12" customFormat="false" ht="23.85" hidden="false" customHeight="false" outlineLevel="0" collapsed="false">
      <c r="A12" s="8" t="s">
        <v>119</v>
      </c>
      <c r="B12" s="8" t="s">
        <v>120</v>
      </c>
      <c r="C12" s="8" t="s">
        <v>103</v>
      </c>
      <c r="D12" s="8" t="s">
        <v>104</v>
      </c>
      <c r="E12" s="8" t="s">
        <v>88</v>
      </c>
      <c r="F12" s="8" t="s">
        <v>94</v>
      </c>
      <c r="G12" s="8" t="s">
        <v>84</v>
      </c>
      <c r="H12" s="8" t="s">
        <v>96</v>
      </c>
      <c r="I12" s="8" t="s">
        <v>121</v>
      </c>
      <c r="J12" s="9" t="n">
        <v>2026</v>
      </c>
      <c r="K12" s="10" t="n">
        <v>8</v>
      </c>
      <c r="L12" s="11" t="n">
        <v>44420</v>
      </c>
      <c r="M12" s="8" t="n">
        <v>648</v>
      </c>
      <c r="N12" s="8" t="n">
        <v>7205048</v>
      </c>
      <c r="O12" s="8" t="n">
        <v>617901</v>
      </c>
      <c r="P12" s="11" t="n">
        <v>11786.52</v>
      </c>
      <c r="Q12" s="8" t="s">
        <v>122</v>
      </c>
      <c r="R12" s="11" t="n">
        <v>11000</v>
      </c>
      <c r="S12" s="11" t="n">
        <v>30000</v>
      </c>
      <c r="T12" s="12" t="n">
        <f aca="false">IF(S12&gt;0,J12+p_SlotJr,"")</f>
        <v>2028</v>
      </c>
      <c r="U12" s="8" t="s">
        <v>88</v>
      </c>
      <c r="V12" s="11"/>
      <c r="W12" s="9"/>
      <c r="X12" s="13" t="s">
        <v>123</v>
      </c>
      <c r="Y12" s="2" t="s">
        <v>124</v>
      </c>
    </row>
    <row r="13" customFormat="false" ht="23.85" hidden="false" customHeight="false" outlineLevel="0" collapsed="false">
      <c r="A13" s="8" t="s">
        <v>125</v>
      </c>
      <c r="B13" s="8" t="s">
        <v>126</v>
      </c>
      <c r="C13" s="8" t="s">
        <v>127</v>
      </c>
      <c r="D13" s="8" t="s">
        <v>128</v>
      </c>
      <c r="E13" s="8" t="s">
        <v>58</v>
      </c>
      <c r="F13" s="8" t="s">
        <v>94</v>
      </c>
      <c r="G13" s="8" t="s">
        <v>95</v>
      </c>
      <c r="H13" s="8" t="s">
        <v>96</v>
      </c>
      <c r="I13" s="8" t="s">
        <v>129</v>
      </c>
      <c r="J13" s="9" t="n">
        <v>2024</v>
      </c>
      <c r="K13" s="10" t="n">
        <v>8</v>
      </c>
      <c r="L13" s="11" t="n">
        <v>38664</v>
      </c>
      <c r="M13" s="8" t="n">
        <v>472</v>
      </c>
      <c r="N13" s="8" t="n">
        <v>7205039</v>
      </c>
      <c r="O13" s="8"/>
      <c r="P13" s="11"/>
      <c r="Q13" s="8"/>
      <c r="R13" s="11"/>
      <c r="S13" s="11"/>
      <c r="T13" s="12"/>
      <c r="U13" s="8" t="s">
        <v>88</v>
      </c>
      <c r="V13" s="11"/>
      <c r="W13" s="9"/>
      <c r="X13" s="13" t="s">
        <v>89</v>
      </c>
      <c r="Y13" s="2" t="s">
        <v>130</v>
      </c>
    </row>
    <row r="14" customFormat="false" ht="23.85" hidden="false" customHeight="false" outlineLevel="0" collapsed="false">
      <c r="A14" s="8" t="s">
        <v>131</v>
      </c>
      <c r="B14" s="8" t="s">
        <v>132</v>
      </c>
      <c r="C14" s="8" t="s">
        <v>133</v>
      </c>
      <c r="D14" s="8" t="s">
        <v>134</v>
      </c>
      <c r="E14" s="8" t="s">
        <v>58</v>
      </c>
      <c r="F14" s="8" t="s">
        <v>94</v>
      </c>
      <c r="G14" s="8" t="s">
        <v>135</v>
      </c>
      <c r="H14" s="8" t="s">
        <v>85</v>
      </c>
      <c r="I14" s="8" t="s">
        <v>135</v>
      </c>
      <c r="J14" s="9" t="n">
        <v>2025</v>
      </c>
      <c r="K14" s="10" t="n">
        <v>8</v>
      </c>
      <c r="L14" s="11" t="n">
        <v>30093</v>
      </c>
      <c r="M14" s="8" t="n">
        <v>461</v>
      </c>
      <c r="N14" s="8" t="n">
        <v>7205043</v>
      </c>
      <c r="O14" s="8"/>
      <c r="P14" s="11"/>
      <c r="Q14" s="8" t="s">
        <v>136</v>
      </c>
      <c r="R14" s="11"/>
      <c r="S14" s="11"/>
      <c r="T14" s="12"/>
      <c r="U14" s="8" t="s">
        <v>88</v>
      </c>
      <c r="V14" s="11"/>
      <c r="W14" s="9"/>
      <c r="X14" s="13" t="s">
        <v>89</v>
      </c>
      <c r="Y14" s="2" t="s">
        <v>137</v>
      </c>
    </row>
    <row r="15" customFormat="false" ht="23.85" hidden="false" customHeight="false" outlineLevel="0" collapsed="false">
      <c r="A15" s="8" t="s">
        <v>138</v>
      </c>
      <c r="B15" s="8"/>
      <c r="C15" s="8" t="s">
        <v>103</v>
      </c>
      <c r="D15" s="8" t="s">
        <v>139</v>
      </c>
      <c r="E15" s="8" t="s">
        <v>88</v>
      </c>
      <c r="F15" s="8" t="s">
        <v>140</v>
      </c>
      <c r="G15" s="8" t="s">
        <v>105</v>
      </c>
      <c r="H15" s="8" t="s">
        <v>85</v>
      </c>
      <c r="I15" s="8" t="s">
        <v>141</v>
      </c>
      <c r="J15" s="9" t="n">
        <v>2026</v>
      </c>
      <c r="K15" s="10" t="n">
        <v>8</v>
      </c>
      <c r="L15" s="11" t="n">
        <v>46500</v>
      </c>
      <c r="M15" s="8"/>
      <c r="N15" s="8" t="n">
        <v>7205046</v>
      </c>
      <c r="O15" s="8" t="n">
        <v>635901</v>
      </c>
      <c r="P15" s="11" t="n">
        <v>13448.5289256198</v>
      </c>
      <c r="Q15" s="8"/>
      <c r="R15" s="11" t="n">
        <v>11000</v>
      </c>
      <c r="S15" s="11" t="n">
        <v>35500</v>
      </c>
      <c r="T15" s="12" t="n">
        <f aca="false">IF(S15&gt;0,J15+p_SlotJr,"")</f>
        <v>2028</v>
      </c>
      <c r="U15" s="8" t="s">
        <v>88</v>
      </c>
      <c r="V15" s="11"/>
      <c r="W15" s="9"/>
      <c r="X15" s="13" t="s">
        <v>142</v>
      </c>
      <c r="Y15" s="2" t="s">
        <v>143</v>
      </c>
    </row>
    <row r="16" customFormat="false" ht="23.85" hidden="false" customHeight="false" outlineLevel="0" collapsed="false">
      <c r="A16" s="8" t="s">
        <v>144</v>
      </c>
      <c r="B16" s="8" t="s">
        <v>145</v>
      </c>
      <c r="C16" s="8" t="s">
        <v>146</v>
      </c>
      <c r="D16" s="8" t="s">
        <v>147</v>
      </c>
      <c r="E16" s="8" t="s">
        <v>58</v>
      </c>
      <c r="F16" s="8" t="s">
        <v>94</v>
      </c>
      <c r="G16" s="8" t="s">
        <v>148</v>
      </c>
      <c r="H16" s="8" t="s">
        <v>85</v>
      </c>
      <c r="I16" s="8" t="s">
        <v>149</v>
      </c>
      <c r="J16" s="9" t="n">
        <v>2024</v>
      </c>
      <c r="K16" s="10" t="n">
        <v>8</v>
      </c>
      <c r="L16" s="11" t="n">
        <v>65770</v>
      </c>
      <c r="M16" s="8" t="n">
        <v>465</v>
      </c>
      <c r="N16" s="8" t="n">
        <v>7205044</v>
      </c>
      <c r="O16" s="8"/>
      <c r="P16" s="11"/>
      <c r="Q16" s="8" t="s">
        <v>150</v>
      </c>
      <c r="R16" s="11"/>
      <c r="S16" s="11"/>
      <c r="T16" s="12"/>
      <c r="U16" s="8" t="s">
        <v>88</v>
      </c>
      <c r="V16" s="11"/>
      <c r="W16" s="9"/>
      <c r="X16" s="13" t="s">
        <v>89</v>
      </c>
      <c r="Y16" s="2"/>
    </row>
    <row r="17" customFormat="false" ht="15" hidden="false" customHeight="false" outlineLevel="0" collapsed="false">
      <c r="A17" s="8" t="s">
        <v>151</v>
      </c>
      <c r="B17" s="8" t="s">
        <v>152</v>
      </c>
      <c r="C17" s="8" t="s">
        <v>112</v>
      </c>
      <c r="D17" s="8" t="s">
        <v>113</v>
      </c>
      <c r="E17" s="8" t="s">
        <v>58</v>
      </c>
      <c r="F17" s="8" t="s">
        <v>59</v>
      </c>
      <c r="G17" s="8" t="s">
        <v>114</v>
      </c>
      <c r="H17" s="8" t="s">
        <v>85</v>
      </c>
      <c r="I17" s="8" t="s">
        <v>153</v>
      </c>
      <c r="J17" s="9" t="n">
        <v>2017</v>
      </c>
      <c r="K17" s="10" t="n">
        <v>8</v>
      </c>
      <c r="L17" s="11" t="n">
        <v>65000</v>
      </c>
      <c r="M17" s="8" t="n">
        <v>520</v>
      </c>
      <c r="N17" s="8" t="n">
        <v>7205052</v>
      </c>
      <c r="O17" s="8"/>
      <c r="P17" s="11"/>
      <c r="Q17" s="8" t="s">
        <v>154</v>
      </c>
      <c r="R17" s="11"/>
      <c r="S17" s="11"/>
      <c r="T17" s="12"/>
      <c r="U17" s="8" t="s">
        <v>58</v>
      </c>
      <c r="V17" s="11" t="n">
        <v>65000</v>
      </c>
      <c r="W17" s="9" t="n">
        <v>2027</v>
      </c>
      <c r="X17" s="13" t="s">
        <v>155</v>
      </c>
      <c r="Y17" s="2" t="s">
        <v>156</v>
      </c>
    </row>
    <row r="18" customFormat="false" ht="23.85" hidden="false" customHeight="false" outlineLevel="0" collapsed="false">
      <c r="A18" s="8" t="s">
        <v>157</v>
      </c>
      <c r="B18" s="8" t="s">
        <v>158</v>
      </c>
      <c r="C18" s="8" t="s">
        <v>112</v>
      </c>
      <c r="D18" s="8" t="s">
        <v>159</v>
      </c>
      <c r="E18" s="8" t="s">
        <v>58</v>
      </c>
      <c r="F18" s="8" t="s">
        <v>59</v>
      </c>
      <c r="G18" s="8" t="s">
        <v>160</v>
      </c>
      <c r="H18" s="8" t="s">
        <v>85</v>
      </c>
      <c r="I18" s="8" t="s">
        <v>161</v>
      </c>
      <c r="J18" s="9" t="n">
        <v>2018</v>
      </c>
      <c r="K18" s="10" t="n">
        <v>8</v>
      </c>
      <c r="L18" s="11" t="n">
        <v>45000</v>
      </c>
      <c r="M18" s="8"/>
      <c r="N18" s="8" t="n">
        <v>7205058</v>
      </c>
      <c r="O18" s="8"/>
      <c r="P18" s="11"/>
      <c r="Q18" s="8" t="s">
        <v>136</v>
      </c>
      <c r="R18" s="11"/>
      <c r="S18" s="11"/>
      <c r="T18" s="12"/>
      <c r="U18" s="8" t="s">
        <v>88</v>
      </c>
      <c r="V18" s="11"/>
      <c r="W18" s="9" t="n">
        <v>2027</v>
      </c>
      <c r="X18" s="13" t="s">
        <v>89</v>
      </c>
      <c r="Y18" s="2" t="s">
        <v>162</v>
      </c>
    </row>
    <row r="19" customFormat="false" ht="23.85" hidden="false" customHeight="false" outlineLevel="0" collapsed="false">
      <c r="A19" s="8" t="s">
        <v>163</v>
      </c>
      <c r="B19" s="8"/>
      <c r="C19" s="8" t="s">
        <v>103</v>
      </c>
      <c r="D19" s="8" t="s">
        <v>164</v>
      </c>
      <c r="E19" s="8" t="s">
        <v>88</v>
      </c>
      <c r="F19" s="8" t="s">
        <v>140</v>
      </c>
      <c r="G19" s="8" t="s">
        <v>165</v>
      </c>
      <c r="H19" s="8" t="s">
        <v>85</v>
      </c>
      <c r="I19" s="8" t="s">
        <v>166</v>
      </c>
      <c r="J19" s="9" t="n">
        <v>2026</v>
      </c>
      <c r="K19" s="10" t="n">
        <v>8</v>
      </c>
      <c r="L19" s="11" t="n">
        <v>41000</v>
      </c>
      <c r="M19" s="8" t="n">
        <v>463</v>
      </c>
      <c r="N19" s="8" t="n">
        <v>7205033</v>
      </c>
      <c r="O19" s="8" t="n">
        <v>604901</v>
      </c>
      <c r="P19" s="11" t="n">
        <v>11641.6859504132</v>
      </c>
      <c r="Q19" s="8"/>
      <c r="R19" s="11" t="n">
        <v>11000</v>
      </c>
      <c r="S19" s="11" t="n">
        <v>30000</v>
      </c>
      <c r="T19" s="12" t="n">
        <f aca="false">IF(S19&gt;0,J19+p_SlotJr,"")</f>
        <v>2028</v>
      </c>
      <c r="U19" s="8" t="s">
        <v>88</v>
      </c>
      <c r="V19" s="11"/>
      <c r="W19" s="9"/>
      <c r="X19" s="13" t="s">
        <v>167</v>
      </c>
      <c r="Y19" s="2" t="s">
        <v>143</v>
      </c>
    </row>
    <row r="20" customFormat="false" ht="23.85" hidden="false" customHeight="false" outlineLevel="0" collapsed="false">
      <c r="A20" s="8" t="s">
        <v>168</v>
      </c>
      <c r="B20" s="8"/>
      <c r="C20" s="8" t="s">
        <v>103</v>
      </c>
      <c r="D20" s="8" t="s">
        <v>164</v>
      </c>
      <c r="E20" s="8" t="s">
        <v>88</v>
      </c>
      <c r="F20" s="8" t="s">
        <v>140</v>
      </c>
      <c r="G20" s="8" t="s">
        <v>169</v>
      </c>
      <c r="H20" s="8" t="s">
        <v>85</v>
      </c>
      <c r="I20" s="8" t="s">
        <v>170</v>
      </c>
      <c r="J20" s="9" t="n">
        <v>2026</v>
      </c>
      <c r="K20" s="10" t="n">
        <v>8</v>
      </c>
      <c r="L20" s="11" t="n">
        <v>49610</v>
      </c>
      <c r="M20" s="8" t="n">
        <v>776</v>
      </c>
      <c r="N20" s="8" t="n">
        <v>7205032</v>
      </c>
      <c r="O20" s="8" t="n">
        <v>630901</v>
      </c>
      <c r="P20" s="11" t="n">
        <v>14085.84</v>
      </c>
      <c r="Q20" s="8"/>
      <c r="R20" s="11" t="n">
        <v>13310</v>
      </c>
      <c r="S20" s="11" t="n">
        <v>36300</v>
      </c>
      <c r="T20" s="12" t="n">
        <f aca="false">IF(S20&gt;0,J20+p_SlotJr,"")</f>
        <v>2028</v>
      </c>
      <c r="U20" s="8" t="s">
        <v>88</v>
      </c>
      <c r="V20" s="11"/>
      <c r="W20" s="9"/>
      <c r="X20" s="13" t="s">
        <v>171</v>
      </c>
      <c r="Y20" s="2" t="s">
        <v>172</v>
      </c>
    </row>
    <row r="21" customFormat="false" ht="23.85" hidden="false" customHeight="false" outlineLevel="0" collapsed="false">
      <c r="A21" s="8" t="s">
        <v>173</v>
      </c>
      <c r="B21" s="8" t="s">
        <v>174</v>
      </c>
      <c r="C21" s="8" t="s">
        <v>103</v>
      </c>
      <c r="D21" s="8" t="s">
        <v>104</v>
      </c>
      <c r="E21" s="8" t="s">
        <v>88</v>
      </c>
      <c r="F21" s="8" t="s">
        <v>94</v>
      </c>
      <c r="G21" s="8" t="s">
        <v>175</v>
      </c>
      <c r="H21" s="8" t="s">
        <v>85</v>
      </c>
      <c r="I21" s="8" t="s">
        <v>176</v>
      </c>
      <c r="J21" s="9" t="n">
        <v>2026</v>
      </c>
      <c r="K21" s="10" t="n">
        <v>8</v>
      </c>
      <c r="L21" s="11" t="n">
        <v>44420</v>
      </c>
      <c r="M21" s="8" t="n">
        <v>647</v>
      </c>
      <c r="N21" s="8" t="n">
        <v>7205047</v>
      </c>
      <c r="O21" s="8" t="n">
        <v>604901</v>
      </c>
      <c r="P21" s="11" t="n">
        <v>11786.52</v>
      </c>
      <c r="Q21" s="8" t="s">
        <v>177</v>
      </c>
      <c r="R21" s="11" t="n">
        <v>11000</v>
      </c>
      <c r="S21" s="11" t="n">
        <v>30000</v>
      </c>
      <c r="T21" s="12" t="n">
        <f aca="false">IF(S21&gt;0,J21+p_SlotJr,"")</f>
        <v>2028</v>
      </c>
      <c r="U21" s="8" t="s">
        <v>88</v>
      </c>
      <c r="V21" s="11"/>
      <c r="W21" s="9"/>
      <c r="X21" s="13" t="s">
        <v>167</v>
      </c>
      <c r="Y21" s="2" t="s">
        <v>178</v>
      </c>
    </row>
    <row r="22" customFormat="false" ht="15" hidden="false" customHeight="false" outlineLevel="0" collapsed="false">
      <c r="A22" s="8" t="s">
        <v>179</v>
      </c>
      <c r="B22" s="8" t="s">
        <v>180</v>
      </c>
      <c r="C22" s="8" t="s">
        <v>181</v>
      </c>
      <c r="D22" s="8" t="s">
        <v>182</v>
      </c>
      <c r="E22" s="8" t="s">
        <v>58</v>
      </c>
      <c r="F22" s="8" t="s">
        <v>59</v>
      </c>
      <c r="G22" s="8" t="s">
        <v>169</v>
      </c>
      <c r="H22" s="8" t="s">
        <v>183</v>
      </c>
      <c r="I22" s="8" t="s">
        <v>184</v>
      </c>
      <c r="J22" s="9" t="n">
        <v>2023</v>
      </c>
      <c r="K22" s="10" t="n">
        <v>15</v>
      </c>
      <c r="L22" s="11" t="n">
        <v>121968</v>
      </c>
      <c r="M22" s="8" t="n">
        <v>458</v>
      </c>
      <c r="N22" s="8" t="n">
        <v>7205027</v>
      </c>
      <c r="O22" s="8"/>
      <c r="P22" s="11"/>
      <c r="Q22" s="8" t="s">
        <v>185</v>
      </c>
      <c r="R22" s="11"/>
      <c r="S22" s="11"/>
      <c r="T22" s="12"/>
      <c r="U22" s="8" t="s">
        <v>58</v>
      </c>
      <c r="V22" s="11" t="n">
        <v>121968</v>
      </c>
      <c r="W22" s="9"/>
      <c r="X22" s="13" t="s">
        <v>63</v>
      </c>
      <c r="Y22" s="2"/>
    </row>
    <row r="23" customFormat="false" ht="15" hidden="false" customHeight="false" outlineLevel="0" collapsed="false">
      <c r="A23" s="8" t="s">
        <v>186</v>
      </c>
      <c r="B23" s="8" t="s">
        <v>187</v>
      </c>
      <c r="C23" s="8" t="s">
        <v>188</v>
      </c>
      <c r="D23" s="8" t="s">
        <v>189</v>
      </c>
      <c r="E23" s="8" t="s">
        <v>58</v>
      </c>
      <c r="F23" s="8" t="s">
        <v>59</v>
      </c>
      <c r="G23" s="8" t="s">
        <v>169</v>
      </c>
      <c r="H23" s="8" t="s">
        <v>183</v>
      </c>
      <c r="I23" s="8" t="s">
        <v>190</v>
      </c>
      <c r="J23" s="9" t="n">
        <v>2012</v>
      </c>
      <c r="K23" s="10" t="n">
        <v>15</v>
      </c>
      <c r="L23" s="11" t="n">
        <v>80000</v>
      </c>
      <c r="M23" s="8" t="n">
        <v>823</v>
      </c>
      <c r="N23" s="8" t="n">
        <v>7205057</v>
      </c>
      <c r="O23" s="8"/>
      <c r="P23" s="11"/>
      <c r="Q23" s="8" t="s">
        <v>191</v>
      </c>
      <c r="R23" s="11"/>
      <c r="S23" s="11"/>
      <c r="T23" s="12"/>
      <c r="U23" s="8" t="s">
        <v>58</v>
      </c>
      <c r="V23" s="11" t="n">
        <v>80000</v>
      </c>
      <c r="W23" s="9"/>
      <c r="X23" s="13" t="s">
        <v>63</v>
      </c>
      <c r="Y23" s="2"/>
    </row>
    <row r="24" customFormat="false" ht="15" hidden="false" customHeight="false" outlineLevel="0" collapsed="false">
      <c r="A24" s="8" t="s">
        <v>192</v>
      </c>
      <c r="B24" s="8" t="s">
        <v>193</v>
      </c>
      <c r="C24" s="8" t="s">
        <v>194</v>
      </c>
      <c r="D24" s="8"/>
      <c r="E24" s="8" t="s">
        <v>58</v>
      </c>
      <c r="F24" s="8" t="s">
        <v>59</v>
      </c>
      <c r="G24" s="8" t="s">
        <v>105</v>
      </c>
      <c r="H24" s="8" t="s">
        <v>183</v>
      </c>
      <c r="I24" s="8" t="s">
        <v>190</v>
      </c>
      <c r="J24" s="9" t="n">
        <v>2009</v>
      </c>
      <c r="K24" s="10" t="n">
        <v>20</v>
      </c>
      <c r="L24" s="11" t="n">
        <v>100000</v>
      </c>
      <c r="M24" s="8"/>
      <c r="N24" s="8"/>
      <c r="O24" s="8"/>
      <c r="P24" s="11"/>
      <c r="Q24" s="8" t="n">
        <v>80450</v>
      </c>
      <c r="R24" s="11"/>
      <c r="S24" s="11"/>
      <c r="T24" s="12"/>
      <c r="U24" s="8" t="s">
        <v>58</v>
      </c>
      <c r="V24" s="11" t="n">
        <v>100000</v>
      </c>
      <c r="W24" s="9"/>
      <c r="X24" s="13" t="s">
        <v>63</v>
      </c>
      <c r="Y24" s="2" t="s">
        <v>195</v>
      </c>
    </row>
    <row r="25" customFormat="false" ht="15" hidden="false" customHeight="false" outlineLevel="0" collapsed="false">
      <c r="A25" s="8" t="s">
        <v>196</v>
      </c>
      <c r="B25" s="8" t="s">
        <v>197</v>
      </c>
      <c r="C25" s="8" t="s">
        <v>188</v>
      </c>
      <c r="D25" s="8" t="s">
        <v>198</v>
      </c>
      <c r="E25" s="8" t="s">
        <v>58</v>
      </c>
      <c r="F25" s="8" t="s">
        <v>59</v>
      </c>
      <c r="G25" s="8" t="s">
        <v>169</v>
      </c>
      <c r="H25" s="8" t="s">
        <v>183</v>
      </c>
      <c r="I25" s="8" t="s">
        <v>190</v>
      </c>
      <c r="J25" s="9" t="n">
        <v>2024</v>
      </c>
      <c r="K25" s="10" t="n">
        <v>10</v>
      </c>
      <c r="L25" s="11" t="n">
        <v>51100</v>
      </c>
      <c r="M25" s="8" t="n">
        <v>518</v>
      </c>
      <c r="N25" s="8" t="n">
        <v>7205041</v>
      </c>
      <c r="O25" s="8"/>
      <c r="P25" s="11"/>
      <c r="Q25" s="8"/>
      <c r="R25" s="11"/>
      <c r="S25" s="11"/>
      <c r="T25" s="12"/>
      <c r="U25" s="8" t="s">
        <v>58</v>
      </c>
      <c r="V25" s="11" t="n">
        <v>51100</v>
      </c>
      <c r="W25" s="9"/>
      <c r="X25" s="13" t="s">
        <v>63</v>
      </c>
      <c r="Y25" s="2" t="s">
        <v>130</v>
      </c>
    </row>
    <row r="26" customFormat="false" ht="15" hidden="false" customHeight="false" outlineLevel="0" collapsed="false">
      <c r="A26" s="8" t="s">
        <v>199</v>
      </c>
      <c r="B26" s="8" t="s">
        <v>200</v>
      </c>
      <c r="C26" s="8" t="s">
        <v>201</v>
      </c>
      <c r="D26" s="8" t="s">
        <v>202</v>
      </c>
      <c r="E26" s="8" t="s">
        <v>58</v>
      </c>
      <c r="F26" s="8" t="s">
        <v>94</v>
      </c>
      <c r="G26" s="8" t="s">
        <v>203</v>
      </c>
      <c r="H26" s="8" t="s">
        <v>204</v>
      </c>
      <c r="I26" s="8" t="s">
        <v>190</v>
      </c>
      <c r="J26" s="9" t="n">
        <v>2023</v>
      </c>
      <c r="K26" s="10" t="n">
        <v>10</v>
      </c>
      <c r="L26" s="11" t="n">
        <v>19000</v>
      </c>
      <c r="M26" s="8"/>
      <c r="N26" s="8"/>
      <c r="O26" s="8"/>
      <c r="P26" s="11"/>
      <c r="Q26" s="8" t="n">
        <v>2311900679</v>
      </c>
      <c r="R26" s="11"/>
      <c r="S26" s="11"/>
      <c r="T26" s="12"/>
      <c r="U26" s="8" t="s">
        <v>58</v>
      </c>
      <c r="V26" s="11" t="n">
        <v>19000</v>
      </c>
      <c r="W26" s="9"/>
      <c r="X26" s="13" t="s">
        <v>63</v>
      </c>
      <c r="Y26" s="2"/>
    </row>
    <row r="27" customFormat="false" ht="15" hidden="false" customHeight="false" outlineLevel="0" collapsed="false">
      <c r="A27" s="8" t="s">
        <v>205</v>
      </c>
      <c r="B27" s="8" t="s">
        <v>200</v>
      </c>
      <c r="C27" s="8" t="s">
        <v>206</v>
      </c>
      <c r="D27" s="8" t="s">
        <v>207</v>
      </c>
      <c r="E27" s="8" t="s">
        <v>58</v>
      </c>
      <c r="F27" s="8" t="s">
        <v>59</v>
      </c>
      <c r="G27" s="8" t="s">
        <v>203</v>
      </c>
      <c r="H27" s="8" t="s">
        <v>204</v>
      </c>
      <c r="I27" s="8" t="s">
        <v>190</v>
      </c>
      <c r="J27" s="9" t="n">
        <v>2007</v>
      </c>
      <c r="K27" s="10" t="n">
        <v>8</v>
      </c>
      <c r="L27" s="11" t="n">
        <v>50000</v>
      </c>
      <c r="M27" s="8"/>
      <c r="N27" s="8" t="n">
        <v>7205056</v>
      </c>
      <c r="O27" s="8"/>
      <c r="P27" s="11"/>
      <c r="Q27" s="8" t="s">
        <v>208</v>
      </c>
      <c r="R27" s="11"/>
      <c r="S27" s="11"/>
      <c r="T27" s="12"/>
      <c r="U27" s="8" t="s">
        <v>58</v>
      </c>
      <c r="V27" s="11" t="n">
        <v>50000</v>
      </c>
      <c r="W27" s="9" t="n">
        <v>2028</v>
      </c>
      <c r="X27" s="13" t="s">
        <v>63</v>
      </c>
      <c r="Y27" s="2" t="s">
        <v>209</v>
      </c>
    </row>
    <row r="28" customFormat="false" ht="23.85" hidden="false" customHeight="false" outlineLevel="0" collapsed="false">
      <c r="A28" s="8" t="s">
        <v>210</v>
      </c>
      <c r="B28" s="8" t="s">
        <v>211</v>
      </c>
      <c r="C28" s="8" t="s">
        <v>133</v>
      </c>
      <c r="D28" s="8" t="s">
        <v>212</v>
      </c>
      <c r="E28" s="8" t="s">
        <v>58</v>
      </c>
      <c r="F28" s="8" t="s">
        <v>94</v>
      </c>
      <c r="G28" s="8" t="s">
        <v>213</v>
      </c>
      <c r="H28" s="8" t="s">
        <v>96</v>
      </c>
      <c r="I28" s="8" t="s">
        <v>214</v>
      </c>
      <c r="J28" s="9" t="n">
        <v>2017</v>
      </c>
      <c r="K28" s="10" t="n">
        <v>8</v>
      </c>
      <c r="L28" s="11" t="n">
        <v>45000</v>
      </c>
      <c r="M28" s="8"/>
      <c r="N28" s="8" t="n">
        <v>7205054</v>
      </c>
      <c r="O28" s="8"/>
      <c r="P28" s="11"/>
      <c r="Q28" s="8" t="s">
        <v>215</v>
      </c>
      <c r="R28" s="11"/>
      <c r="S28" s="11"/>
      <c r="T28" s="12"/>
      <c r="U28" s="8" t="s">
        <v>58</v>
      </c>
      <c r="V28" s="11" t="n">
        <v>45000</v>
      </c>
      <c r="W28" s="9" t="n">
        <v>2027</v>
      </c>
      <c r="X28" s="13" t="s">
        <v>216</v>
      </c>
      <c r="Y28" s="2" t="s">
        <v>217</v>
      </c>
    </row>
    <row r="29" customFormat="false" ht="23.85" hidden="false" customHeight="false" outlineLevel="0" collapsed="false">
      <c r="A29" s="8" t="s">
        <v>218</v>
      </c>
      <c r="B29" s="8" t="s">
        <v>219</v>
      </c>
      <c r="C29" s="8" t="s">
        <v>133</v>
      </c>
      <c r="D29" s="8" t="s">
        <v>212</v>
      </c>
      <c r="E29" s="8" t="s">
        <v>58</v>
      </c>
      <c r="F29" s="8" t="s">
        <v>94</v>
      </c>
      <c r="G29" s="8" t="s">
        <v>220</v>
      </c>
      <c r="H29" s="8" t="s">
        <v>96</v>
      </c>
      <c r="I29" s="8" t="s">
        <v>214</v>
      </c>
      <c r="J29" s="9" t="n">
        <v>2017</v>
      </c>
      <c r="K29" s="10" t="n">
        <v>8</v>
      </c>
      <c r="L29" s="11" t="n">
        <v>45000</v>
      </c>
      <c r="M29" s="8"/>
      <c r="N29" s="8" t="n">
        <v>7205055</v>
      </c>
      <c r="O29" s="8"/>
      <c r="P29" s="11"/>
      <c r="Q29" s="8" t="s">
        <v>221</v>
      </c>
      <c r="R29" s="11"/>
      <c r="S29" s="11"/>
      <c r="T29" s="12"/>
      <c r="U29" s="8" t="s">
        <v>58</v>
      </c>
      <c r="V29" s="11" t="n">
        <v>45000</v>
      </c>
      <c r="W29" s="9" t="n">
        <v>2027</v>
      </c>
      <c r="X29" s="13" t="s">
        <v>216</v>
      </c>
      <c r="Y29" s="2" t="s">
        <v>217</v>
      </c>
    </row>
    <row r="30" customFormat="false" ht="23.85" hidden="false" customHeight="false" outlineLevel="0" collapsed="false">
      <c r="A30" s="8" t="s">
        <v>222</v>
      </c>
      <c r="B30" s="8" t="s">
        <v>223</v>
      </c>
      <c r="C30" s="8" t="s">
        <v>224</v>
      </c>
      <c r="D30" s="8" t="s">
        <v>225</v>
      </c>
      <c r="E30" s="8" t="s">
        <v>88</v>
      </c>
      <c r="F30" s="8" t="s">
        <v>94</v>
      </c>
      <c r="G30" s="8" t="s">
        <v>226</v>
      </c>
      <c r="H30" s="8" t="s">
        <v>96</v>
      </c>
      <c r="I30" s="8" t="s">
        <v>227</v>
      </c>
      <c r="J30" s="9" t="n">
        <v>2026</v>
      </c>
      <c r="K30" s="10" t="n">
        <v>8</v>
      </c>
      <c r="L30" s="11" t="n">
        <v>30000</v>
      </c>
      <c r="M30" s="8"/>
      <c r="N30" s="8"/>
      <c r="O30" s="8"/>
      <c r="P30" s="11"/>
      <c r="Q30" s="8"/>
      <c r="R30" s="11"/>
      <c r="S30" s="11"/>
      <c r="T30" s="12" t="str">
        <f aca="false">IF(S30&gt;0,J30+p_SlotJr,"")</f>
        <v/>
      </c>
      <c r="U30" s="8" t="s">
        <v>88</v>
      </c>
      <c r="V30" s="11"/>
      <c r="W30" s="9"/>
      <c r="X30" s="13" t="s">
        <v>228</v>
      </c>
      <c r="Y30" s="2" t="s">
        <v>229</v>
      </c>
    </row>
    <row r="31" customFormat="false" ht="23.85" hidden="false" customHeight="false" outlineLevel="0" collapsed="false">
      <c r="A31" s="8" t="s">
        <v>230</v>
      </c>
      <c r="B31" s="8" t="s">
        <v>231</v>
      </c>
      <c r="C31" s="8" t="s">
        <v>82</v>
      </c>
      <c r="D31" s="8" t="s">
        <v>232</v>
      </c>
      <c r="E31" s="8" t="s">
        <v>58</v>
      </c>
      <c r="F31" s="8" t="s">
        <v>94</v>
      </c>
      <c r="G31" s="8" t="s">
        <v>220</v>
      </c>
      <c r="H31" s="8" t="s">
        <v>96</v>
      </c>
      <c r="I31" s="8" t="s">
        <v>214</v>
      </c>
      <c r="J31" s="9" t="n">
        <v>2023</v>
      </c>
      <c r="K31" s="10" t="n">
        <v>8</v>
      </c>
      <c r="L31" s="11" t="n">
        <v>41530</v>
      </c>
      <c r="M31" s="8" t="n">
        <v>631</v>
      </c>
      <c r="N31" s="8" t="n">
        <v>7205036</v>
      </c>
      <c r="O31" s="8"/>
      <c r="P31" s="11"/>
      <c r="Q31" s="8" t="s">
        <v>233</v>
      </c>
      <c r="R31" s="11"/>
      <c r="S31" s="11"/>
      <c r="T31" s="12"/>
      <c r="U31" s="8" t="s">
        <v>88</v>
      </c>
      <c r="V31" s="11"/>
      <c r="W31" s="9"/>
      <c r="X31" s="13" t="s">
        <v>89</v>
      </c>
      <c r="Y31" s="2"/>
    </row>
  </sheetData>
  <dataValidations count="1">
    <dataValidation allowBlank="true" errorStyle="stop" operator="between" showDropDown="false" showErrorMessage="false" showInputMessage="false" sqref="U5:U300" type="list">
      <formula1>Parameters!$A$19:$A$21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22"/>
    <col collapsed="false" customWidth="true" hidden="false" outlineLevel="0" max="14" min="14" style="0" width="11"/>
    <col collapsed="false" customWidth="true" hidden="false" outlineLevel="0" max="15" min="15" style="0" width="21"/>
    <col collapsed="false" customWidth="true" hidden="false" outlineLevel="0" max="16" min="16" style="0" width="11"/>
    <col collapsed="false" customWidth="true" hidden="false" outlineLevel="0" max="17" min="17" style="0" width="55"/>
  </cols>
  <sheetData>
    <row r="1" customFormat="false" ht="17.35" hidden="false" customHeight="false" outlineLevel="0" collapsed="false">
      <c r="A1" s="4" t="s">
        <v>234</v>
      </c>
    </row>
    <row r="2" customFormat="false" ht="15" hidden="false" customHeight="false" outlineLevel="0" collapsed="false">
      <c r="A2" s="5" t="s">
        <v>235</v>
      </c>
    </row>
    <row r="4" customFormat="false" ht="39.75" hidden="false" customHeight="true" outlineLevel="0" collapsed="false">
      <c r="A4" s="6" t="s">
        <v>29</v>
      </c>
      <c r="B4" s="6" t="s">
        <v>30</v>
      </c>
      <c r="C4" s="6" t="s">
        <v>31</v>
      </c>
      <c r="D4" s="6" t="s">
        <v>32</v>
      </c>
      <c r="E4" s="6" t="s">
        <v>236</v>
      </c>
      <c r="F4" s="6" t="s">
        <v>34</v>
      </c>
      <c r="G4" s="6" t="s">
        <v>35</v>
      </c>
      <c r="H4" s="6" t="s">
        <v>36</v>
      </c>
      <c r="I4" s="6" t="s">
        <v>37</v>
      </c>
      <c r="J4" s="6" t="s">
        <v>38</v>
      </c>
      <c r="K4" s="6" t="s">
        <v>39</v>
      </c>
      <c r="L4" s="6" t="s">
        <v>237</v>
      </c>
      <c r="M4" s="6" t="s">
        <v>41</v>
      </c>
      <c r="N4" s="6" t="s">
        <v>42</v>
      </c>
      <c r="O4" s="6" t="s">
        <v>45</v>
      </c>
      <c r="P4" s="6" t="s">
        <v>238</v>
      </c>
      <c r="Q4" s="6" t="s">
        <v>239</v>
      </c>
    </row>
    <row r="5" customFormat="false" ht="15" hidden="false" customHeight="false" outlineLevel="0" collapsed="false">
      <c r="A5" s="8" t="s">
        <v>138</v>
      </c>
      <c r="B5" s="8" t="s">
        <v>240</v>
      </c>
      <c r="C5" s="8" t="s">
        <v>82</v>
      </c>
      <c r="D5" s="8" t="s">
        <v>241</v>
      </c>
      <c r="E5" s="8" t="s">
        <v>58</v>
      </c>
      <c r="F5" s="8" t="s">
        <v>59</v>
      </c>
      <c r="G5" s="8" t="s">
        <v>105</v>
      </c>
      <c r="H5" s="8" t="s">
        <v>85</v>
      </c>
      <c r="I5" s="8" t="s">
        <v>141</v>
      </c>
      <c r="J5" s="9" t="n">
        <v>2014</v>
      </c>
      <c r="K5" s="8" t="n">
        <v>8</v>
      </c>
      <c r="L5" s="11"/>
      <c r="M5" s="8"/>
      <c r="N5" s="8"/>
      <c r="O5" s="8" t="s">
        <v>242</v>
      </c>
      <c r="P5" s="9" t="n">
        <v>2026</v>
      </c>
      <c r="Q5" s="13" t="s">
        <v>243</v>
      </c>
    </row>
    <row r="6" customFormat="false" ht="15" hidden="false" customHeight="false" outlineLevel="0" collapsed="false">
      <c r="A6" s="8" t="s">
        <v>163</v>
      </c>
      <c r="B6" s="8" t="s">
        <v>244</v>
      </c>
      <c r="C6" s="8" t="s">
        <v>133</v>
      </c>
      <c r="D6" s="8" t="s">
        <v>245</v>
      </c>
      <c r="E6" s="8" t="s">
        <v>58</v>
      </c>
      <c r="F6" s="8" t="s">
        <v>59</v>
      </c>
      <c r="G6" s="8" t="s">
        <v>165</v>
      </c>
      <c r="H6" s="8" t="s">
        <v>85</v>
      </c>
      <c r="I6" s="8" t="s">
        <v>166</v>
      </c>
      <c r="J6" s="9" t="n">
        <v>2018</v>
      </c>
      <c r="K6" s="8" t="n">
        <v>8</v>
      </c>
      <c r="L6" s="11"/>
      <c r="M6" s="8"/>
      <c r="N6" s="8"/>
      <c r="O6" s="8" t="s">
        <v>246</v>
      </c>
      <c r="P6" s="9" t="n">
        <v>2026</v>
      </c>
      <c r="Q6" s="13" t="s">
        <v>247</v>
      </c>
    </row>
    <row r="7" customFormat="false" ht="15" hidden="false" customHeight="false" outlineLevel="0" collapsed="false">
      <c r="A7" s="8" t="s">
        <v>168</v>
      </c>
      <c r="B7" s="8" t="s">
        <v>248</v>
      </c>
      <c r="C7" s="8" t="s">
        <v>112</v>
      </c>
      <c r="D7" s="8" t="s">
        <v>113</v>
      </c>
      <c r="E7" s="8" t="s">
        <v>58</v>
      </c>
      <c r="F7" s="8" t="s">
        <v>59</v>
      </c>
      <c r="G7" s="8" t="s">
        <v>169</v>
      </c>
      <c r="H7" s="8" t="s">
        <v>85</v>
      </c>
      <c r="I7" s="8" t="s">
        <v>170</v>
      </c>
      <c r="J7" s="9" t="n">
        <v>2013</v>
      </c>
      <c r="K7" s="8" t="n">
        <v>8</v>
      </c>
      <c r="L7" s="11"/>
      <c r="M7" s="8"/>
      <c r="N7" s="8"/>
      <c r="O7" s="8" t="s">
        <v>249</v>
      </c>
      <c r="P7" s="9" t="n">
        <v>2026</v>
      </c>
      <c r="Q7" s="13" t="s">
        <v>250</v>
      </c>
    </row>
    <row r="8" customFormat="false" ht="15" hidden="false" customHeight="false" outlineLevel="0" collapsed="false">
      <c r="A8" s="8" t="s">
        <v>222</v>
      </c>
      <c r="B8" s="8" t="s">
        <v>251</v>
      </c>
      <c r="C8" s="8" t="s">
        <v>224</v>
      </c>
      <c r="D8" s="8" t="s">
        <v>252</v>
      </c>
      <c r="E8" s="8" t="s">
        <v>58</v>
      </c>
      <c r="F8" s="8" t="s">
        <v>253</v>
      </c>
      <c r="G8" s="8" t="s">
        <v>226</v>
      </c>
      <c r="H8" s="8" t="s">
        <v>96</v>
      </c>
      <c r="I8" s="8" t="s">
        <v>227</v>
      </c>
      <c r="J8" s="9" t="n">
        <v>2017</v>
      </c>
      <c r="K8" s="8" t="n">
        <v>8</v>
      </c>
      <c r="L8" s="11" t="n">
        <v>80000</v>
      </c>
      <c r="M8" s="8"/>
      <c r="N8" s="8" t="n">
        <v>7205049</v>
      </c>
      <c r="O8" s="8" t="s">
        <v>254</v>
      </c>
      <c r="P8" s="9" t="n">
        <v>2026</v>
      </c>
      <c r="Q8" s="13" t="s">
        <v>255</v>
      </c>
    </row>
    <row r="9" customFormat="false" ht="23.85" hidden="false" customHeight="false" outlineLevel="0" collapsed="false">
      <c r="A9" s="8" t="s">
        <v>256</v>
      </c>
      <c r="B9" s="8" t="s">
        <v>257</v>
      </c>
      <c r="C9" s="8" t="s">
        <v>258</v>
      </c>
      <c r="D9" s="8" t="s">
        <v>259</v>
      </c>
      <c r="E9" s="8"/>
      <c r="F9" s="8" t="s">
        <v>59</v>
      </c>
      <c r="G9" s="8" t="s">
        <v>84</v>
      </c>
      <c r="H9" s="8" t="s">
        <v>96</v>
      </c>
      <c r="I9" s="8" t="s">
        <v>121</v>
      </c>
      <c r="J9" s="9" t="n">
        <v>2007</v>
      </c>
      <c r="K9" s="8" t="n">
        <v>8</v>
      </c>
      <c r="L9" s="11" t="n">
        <v>65000</v>
      </c>
      <c r="M9" s="8"/>
      <c r="N9" s="8"/>
      <c r="O9" s="8" t="s">
        <v>122</v>
      </c>
      <c r="P9" s="9" t="n">
        <v>2026</v>
      </c>
      <c r="Q9" s="13" t="s">
        <v>260</v>
      </c>
    </row>
    <row r="10" customFormat="false" ht="15" hidden="false" customHeight="false" outlineLevel="0" collapsed="false">
      <c r="A10" s="8" t="s">
        <v>261</v>
      </c>
      <c r="B10" s="8" t="s">
        <v>262</v>
      </c>
      <c r="C10" s="8" t="s">
        <v>258</v>
      </c>
      <c r="D10" s="8" t="s">
        <v>259</v>
      </c>
      <c r="E10" s="8"/>
      <c r="F10" s="8" t="s">
        <v>59</v>
      </c>
      <c r="G10" s="8" t="s">
        <v>263</v>
      </c>
      <c r="H10" s="8" t="s">
        <v>96</v>
      </c>
      <c r="I10" s="8" t="s">
        <v>264</v>
      </c>
      <c r="J10" s="9" t="n">
        <v>2006</v>
      </c>
      <c r="K10" s="8" t="n">
        <v>8</v>
      </c>
      <c r="L10" s="11" t="n">
        <v>43000</v>
      </c>
      <c r="M10" s="8" t="s">
        <v>265</v>
      </c>
      <c r="N10" s="8"/>
      <c r="O10" s="8" t="s">
        <v>266</v>
      </c>
      <c r="P10" s="14"/>
      <c r="Q10" s="13" t="s">
        <v>267</v>
      </c>
    </row>
    <row r="11" customFormat="false" ht="15" hidden="false" customHeight="false" outlineLevel="0" collapsed="false">
      <c r="A11" s="8" t="s">
        <v>268</v>
      </c>
      <c r="B11" s="8" t="s">
        <v>269</v>
      </c>
      <c r="C11" s="8" t="s">
        <v>270</v>
      </c>
      <c r="D11" s="8" t="s">
        <v>271</v>
      </c>
      <c r="E11" s="8"/>
      <c r="F11" s="8" t="s">
        <v>59</v>
      </c>
      <c r="G11" s="8" t="s">
        <v>272</v>
      </c>
      <c r="H11" s="8" t="s">
        <v>273</v>
      </c>
      <c r="I11" s="8" t="s">
        <v>274</v>
      </c>
      <c r="J11" s="9" t="n">
        <v>2015</v>
      </c>
      <c r="K11" s="8" t="n">
        <v>8</v>
      </c>
      <c r="L11" s="11" t="n">
        <v>240000</v>
      </c>
      <c r="M11" s="8" t="s">
        <v>275</v>
      </c>
      <c r="N11" s="8"/>
      <c r="O11" s="8" t="s">
        <v>276</v>
      </c>
      <c r="P11" s="14"/>
      <c r="Q11" s="13" t="s">
        <v>267</v>
      </c>
    </row>
    <row r="12" customFormat="false" ht="23.85" hidden="false" customHeight="false" outlineLevel="0" collapsed="false">
      <c r="A12" s="8" t="s">
        <v>277</v>
      </c>
      <c r="B12" s="8" t="s">
        <v>278</v>
      </c>
      <c r="C12" s="8" t="s">
        <v>112</v>
      </c>
      <c r="D12" s="8" t="s">
        <v>159</v>
      </c>
      <c r="E12" s="8"/>
      <c r="F12" s="8" t="s">
        <v>279</v>
      </c>
      <c r="G12" s="8" t="s">
        <v>280</v>
      </c>
      <c r="H12" s="8" t="s">
        <v>85</v>
      </c>
      <c r="I12" s="8" t="s">
        <v>281</v>
      </c>
      <c r="J12" s="9" t="n">
        <v>2013</v>
      </c>
      <c r="K12" s="8" t="n">
        <v>8</v>
      </c>
      <c r="L12" s="11" t="n">
        <v>65000</v>
      </c>
      <c r="M12" s="8"/>
      <c r="N12" s="8"/>
      <c r="O12" s="8" t="s">
        <v>282</v>
      </c>
      <c r="P12" s="9" t="n">
        <v>2027</v>
      </c>
      <c r="Q12" s="13" t="s">
        <v>283</v>
      </c>
    </row>
    <row r="13" customFormat="false" ht="15" hidden="false" customHeight="false" outlineLevel="0" collapsed="false">
      <c r="A13" s="8" t="s">
        <v>284</v>
      </c>
      <c r="B13" s="8" t="s">
        <v>285</v>
      </c>
      <c r="C13" s="8" t="s">
        <v>112</v>
      </c>
      <c r="D13" s="8" t="s">
        <v>159</v>
      </c>
      <c r="E13" s="8"/>
      <c r="F13" s="8" t="s">
        <v>279</v>
      </c>
      <c r="G13" s="8" t="s">
        <v>175</v>
      </c>
      <c r="H13" s="8" t="s">
        <v>85</v>
      </c>
      <c r="I13" s="8" t="s">
        <v>176</v>
      </c>
      <c r="J13" s="9" t="n">
        <v>2013</v>
      </c>
      <c r="K13" s="8" t="n">
        <v>8</v>
      </c>
      <c r="L13" s="11" t="n">
        <v>65000</v>
      </c>
      <c r="M13" s="8"/>
      <c r="N13" s="8"/>
      <c r="O13" s="8" t="s">
        <v>177</v>
      </c>
      <c r="P13" s="9" t="n">
        <v>2025</v>
      </c>
      <c r="Q13" s="13" t="s">
        <v>286</v>
      </c>
    </row>
    <row r="14" customFormat="false" ht="23.85" hidden="false" customHeight="false" outlineLevel="0" collapsed="false">
      <c r="A14" s="8" t="s">
        <v>287</v>
      </c>
      <c r="B14" s="8" t="s">
        <v>288</v>
      </c>
      <c r="C14" s="8" t="s">
        <v>112</v>
      </c>
      <c r="D14" s="8" t="s">
        <v>159</v>
      </c>
      <c r="E14" s="8"/>
      <c r="F14" s="8" t="s">
        <v>279</v>
      </c>
      <c r="G14" s="8" t="s">
        <v>105</v>
      </c>
      <c r="H14" s="8" t="s">
        <v>85</v>
      </c>
      <c r="I14" s="8" t="s">
        <v>184</v>
      </c>
      <c r="J14" s="9" t="n">
        <v>2013</v>
      </c>
      <c r="K14" s="8" t="n">
        <v>8</v>
      </c>
      <c r="L14" s="11" t="n">
        <v>65000</v>
      </c>
      <c r="M14" s="8"/>
      <c r="N14" s="8"/>
      <c r="O14" s="8" t="s">
        <v>107</v>
      </c>
      <c r="P14" s="9" t="n">
        <v>2027</v>
      </c>
      <c r="Q14" s="13" t="s">
        <v>289</v>
      </c>
    </row>
    <row r="15" customFormat="false" ht="15" hidden="false" customHeight="false" outlineLevel="0" collapsed="false">
      <c r="A15" s="8" t="s">
        <v>290</v>
      </c>
      <c r="B15" s="8" t="s">
        <v>291</v>
      </c>
      <c r="C15" s="8" t="s">
        <v>112</v>
      </c>
      <c r="D15" s="8" t="s">
        <v>292</v>
      </c>
      <c r="E15" s="8"/>
      <c r="F15" s="8" t="s">
        <v>59</v>
      </c>
      <c r="G15" s="8" t="s">
        <v>293</v>
      </c>
      <c r="H15" s="8" t="s">
        <v>85</v>
      </c>
      <c r="I15" s="8" t="s">
        <v>294</v>
      </c>
      <c r="J15" s="9" t="n">
        <v>2013</v>
      </c>
      <c r="K15" s="8" t="n">
        <v>8</v>
      </c>
      <c r="L15" s="11" t="n">
        <v>72000</v>
      </c>
      <c r="M15" s="8" t="s">
        <v>295</v>
      </c>
      <c r="N15" s="8"/>
      <c r="O15" s="8" t="s">
        <v>296</v>
      </c>
      <c r="P15" s="14"/>
      <c r="Q15" s="13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4" min="11" style="0" width="11"/>
    <col collapsed="false" customWidth="true" hidden="false" outlineLevel="0" max="15" min="15" style="0" width="9"/>
    <col collapsed="false" customWidth="true" hidden="false" outlineLevel="0" max="17" min="16" style="0" width="12"/>
    <col collapsed="false" customWidth="true" hidden="false" outlineLevel="0" max="18" min="18" style="0" width="9"/>
    <col collapsed="false" customWidth="true" hidden="false" outlineLevel="0" max="19" min="19" style="0" width="11"/>
    <col collapsed="false" customWidth="true" hidden="false" outlineLevel="0" max="20" min="20" style="0" width="9"/>
    <col collapsed="false" customWidth="true" hidden="false" outlineLevel="0" max="21" min="21" style="0" width="10"/>
    <col collapsed="false" customWidth="true" hidden="false" outlineLevel="0" max="23" min="22" style="0" width="11"/>
    <col collapsed="false" customWidth="true" hidden="false" outlineLevel="0" max="24" min="24" style="0" width="9"/>
    <col collapsed="false" customWidth="true" hidden="false" outlineLevel="0" max="25" min="25" style="0" width="10"/>
    <col collapsed="false" customWidth="true" hidden="false" outlineLevel="0" max="26" min="26" style="0" width="2"/>
    <col collapsed="false" customWidth="true" hidden="false" outlineLevel="0" max="34" min="27" style="0" width="11"/>
    <col collapsed="false" customWidth="true" hidden="false" outlineLevel="0" max="35" min="35" style="0" width="2"/>
    <col collapsed="false" customWidth="true" hidden="false" outlineLevel="0" max="43" min="36" style="0" width="11"/>
  </cols>
  <sheetData>
    <row r="1" customFormat="false" ht="17.35" hidden="false" customHeight="false" outlineLevel="0" collapsed="false">
      <c r="A1" s="4" t="s">
        <v>297</v>
      </c>
    </row>
    <row r="2" customFormat="false" ht="15" hidden="false" customHeight="false" outlineLevel="0" collapsed="false">
      <c r="A2" s="5" t="s">
        <v>298</v>
      </c>
    </row>
    <row r="3" customFormat="false" ht="15" hidden="false" customHeight="false" outlineLevel="0" collapsed="false">
      <c r="A3" s="5" t="s">
        <v>299</v>
      </c>
    </row>
    <row r="4" customFormat="false" ht="15" hidden="false" customHeight="false" outlineLevel="0" collapsed="false">
      <c r="A4" s="5" t="s">
        <v>300</v>
      </c>
    </row>
    <row r="5" customFormat="false" ht="15" hidden="false" customHeight="false" outlineLevel="0" collapsed="false">
      <c r="A5" s="15" t="s">
        <v>301</v>
      </c>
      <c r="K5" s="16" t="n">
        <f aca="false">SUM(K8:K87)</f>
        <v>140000</v>
      </c>
      <c r="L5" s="16" t="n">
        <f aca="false">SUM(L8:L87)</f>
        <v>70000</v>
      </c>
      <c r="M5" s="16" t="n">
        <f aca="false">SUM(M8:M87)</f>
        <v>98000</v>
      </c>
      <c r="N5" s="16" t="n">
        <f aca="false">SUM(N8:N87)</f>
        <v>490000</v>
      </c>
      <c r="O5" s="16" t="n">
        <f aca="false">SUM(O8:O87)</f>
        <v>28482</v>
      </c>
      <c r="P5" s="16" t="n">
        <f aca="false">SUM(P8:P87)</f>
        <v>1249208</v>
      </c>
      <c r="Q5" s="16" t="n">
        <f aca="false">SUM(Q8:Q87)</f>
        <v>2047208</v>
      </c>
      <c r="S5" s="16" t="n">
        <f aca="false">SUM(S8:S87)</f>
        <v>253192.866666667</v>
      </c>
      <c r="U5" s="16" t="n">
        <f aca="false">SUM(U8:U87)</f>
        <v>168000</v>
      </c>
      <c r="V5" s="16" t="n">
        <f aca="false">SUM(V8:V87)</f>
        <v>68310</v>
      </c>
      <c r="W5" s="16" t="n">
        <f aca="false">SUM(W8:W87)</f>
        <v>191800</v>
      </c>
      <c r="AA5" s="16" t="n">
        <f aca="false">SUM(AA8:AA87)</f>
        <v>322000</v>
      </c>
      <c r="AB5" s="16" t="n">
        <f aca="false">SUM(AB8:AB87)</f>
        <v>241800</v>
      </c>
      <c r="AC5" s="16" t="n">
        <f aca="false">SUM(AC8:AC87)</f>
        <v>157000</v>
      </c>
      <c r="AD5" s="16" t="n">
        <f aca="false">SUM(AD8:AD87)</f>
        <v>0</v>
      </c>
      <c r="AE5" s="16" t="n">
        <f aca="false">SUM(AE8:AE87)</f>
        <v>57000</v>
      </c>
      <c r="AF5" s="16" t="n">
        <f aca="false">SUM(AF8:AF87)</f>
        <v>314960</v>
      </c>
      <c r="AG5" s="16" t="n">
        <f aca="false">SUM(AG8:AG87)</f>
        <v>76000</v>
      </c>
      <c r="AH5" s="16" t="n">
        <f aca="false">SUM(AH8:AH87)</f>
        <v>310100</v>
      </c>
      <c r="AJ5" s="16" t="n">
        <f aca="false">SUM(AJ8:AJ87)</f>
        <v>0</v>
      </c>
      <c r="AK5" s="16" t="n">
        <f aca="false">SUM(AK8:AK87)</f>
        <v>32833.3333333333</v>
      </c>
      <c r="AL5" s="16" t="n">
        <f aca="false">SUM(AL8:AL87)</f>
        <v>82435</v>
      </c>
      <c r="AM5" s="16" t="n">
        <f aca="false">SUM(AM8:AM87)</f>
        <v>96935</v>
      </c>
      <c r="AN5" s="16" t="n">
        <f aca="false">SUM(AN8:AN87)</f>
        <v>96935</v>
      </c>
      <c r="AO5" s="16" t="n">
        <f aca="false">SUM(AO8:AO87)</f>
        <v>106435</v>
      </c>
      <c r="AP5" s="16" t="n">
        <f aca="false">SUM(AP8:AP87)</f>
        <v>137555</v>
      </c>
      <c r="AQ5" s="16" t="n">
        <f aca="false">SUM(AQ8:AQ87)</f>
        <v>148955</v>
      </c>
    </row>
    <row r="6" customFormat="false" ht="15" hidden="false" customHeight="false" outlineLevel="0" collapsed="false">
      <c r="AA6" s="15" t="s">
        <v>302</v>
      </c>
      <c r="AJ6" s="15" t="s">
        <v>303</v>
      </c>
    </row>
    <row r="7" customFormat="false" ht="54" hidden="false" customHeight="true" outlineLevel="0" collapsed="false">
      <c r="A7" s="6" t="s">
        <v>29</v>
      </c>
      <c r="B7" s="6" t="s">
        <v>30</v>
      </c>
      <c r="C7" s="6" t="s">
        <v>36</v>
      </c>
      <c r="D7" s="6" t="s">
        <v>35</v>
      </c>
      <c r="E7" s="6" t="s">
        <v>304</v>
      </c>
      <c r="F7" s="6" t="s">
        <v>305</v>
      </c>
      <c r="G7" s="6" t="s">
        <v>306</v>
      </c>
      <c r="H7" s="6" t="s">
        <v>307</v>
      </c>
      <c r="I7" s="6" t="s">
        <v>308</v>
      </c>
      <c r="J7" s="6" t="s">
        <v>309</v>
      </c>
      <c r="K7" s="7" t="s">
        <v>310</v>
      </c>
      <c r="L7" s="7" t="s">
        <v>311</v>
      </c>
      <c r="M7" s="7" t="s">
        <v>312</v>
      </c>
      <c r="N7" s="7" t="s">
        <v>313</v>
      </c>
      <c r="O7" s="7" t="s">
        <v>314</v>
      </c>
      <c r="P7" s="7" t="s">
        <v>315</v>
      </c>
      <c r="Q7" s="7" t="s">
        <v>316</v>
      </c>
      <c r="R7" s="7" t="s">
        <v>317</v>
      </c>
      <c r="S7" s="7" t="s">
        <v>318</v>
      </c>
      <c r="T7" s="7" t="s">
        <v>319</v>
      </c>
      <c r="U7" s="7" t="s">
        <v>320</v>
      </c>
      <c r="V7" s="17" t="s">
        <v>321</v>
      </c>
      <c r="W7" s="17" t="s">
        <v>322</v>
      </c>
      <c r="X7" s="17" t="s">
        <v>48</v>
      </c>
      <c r="Y7" s="17" t="s">
        <v>323</v>
      </c>
      <c r="AA7" s="18" t="n">
        <f aca="false">p_Start</f>
        <v>2027</v>
      </c>
      <c r="AB7" s="18" t="n">
        <f aca="false">AA7+1</f>
        <v>2028</v>
      </c>
      <c r="AC7" s="18" t="n">
        <f aca="false">AB7+1</f>
        <v>2029</v>
      </c>
      <c r="AD7" s="18" t="n">
        <f aca="false">AC7+1</f>
        <v>2030</v>
      </c>
      <c r="AE7" s="18" t="n">
        <f aca="false">AD7+1</f>
        <v>2031</v>
      </c>
      <c r="AF7" s="18" t="n">
        <f aca="false">AE7+1</f>
        <v>2032</v>
      </c>
      <c r="AG7" s="18" t="n">
        <f aca="false">AF7+1</f>
        <v>2033</v>
      </c>
      <c r="AH7" s="18" t="n">
        <f aca="false">AG7+1</f>
        <v>2034</v>
      </c>
      <c r="AJ7" s="19" t="n">
        <f aca="false">p_Start</f>
        <v>2027</v>
      </c>
      <c r="AK7" s="19" t="n">
        <f aca="false">AJ7+1</f>
        <v>2028</v>
      </c>
      <c r="AL7" s="19" t="n">
        <f aca="false">AK7+1</f>
        <v>2029</v>
      </c>
      <c r="AM7" s="19" t="n">
        <f aca="false">AL7+1</f>
        <v>2030</v>
      </c>
      <c r="AN7" s="19" t="n">
        <f aca="false">AM7+1</f>
        <v>2031</v>
      </c>
      <c r="AO7" s="19" t="n">
        <f aca="false">AN7+1</f>
        <v>2032</v>
      </c>
      <c r="AP7" s="19" t="n">
        <f aca="false">AO7+1</f>
        <v>2033</v>
      </c>
      <c r="AQ7" s="19" t="n">
        <f aca="false">AP7+1</f>
        <v>2034</v>
      </c>
    </row>
    <row r="8" customFormat="false" ht="15" hidden="false" customHeight="false" outlineLevel="0" collapsed="false">
      <c r="A8" s="20" t="str">
        <f aca="false">IF(INDEX('In gebruik'!$A:$A,ROW()+(-3))="","",INDEX('In gebruik'!$A:$A,ROW()+(-3)))</f>
        <v>V01</v>
      </c>
      <c r="B8" s="20" t="str">
        <f aca="false">IF($A8="","",INDEX('In gebruik'!$B:$B,ROW()+(-3))&amp;"")</f>
        <v>26-BXG-9</v>
      </c>
      <c r="C8" s="20" t="str">
        <f aca="false">IF($A8="","",INDEX('In gebruik'!$H:$H,ROW()+(-3))&amp;"")</f>
        <v>Vrachtwagen</v>
      </c>
      <c r="D8" s="20" t="str">
        <f aca="false">IF($A8="","",INDEX('In gebruik'!$G:$G,ROW()+(-3))&amp;"")</f>
        <v>Vrachtwagen</v>
      </c>
      <c r="E8" s="20" t="str">
        <f aca="false">IF($A8="","",INDEX('In gebruik'!$U:$U,ROW()+(-3))&amp;"")</f>
        <v>Koop</v>
      </c>
      <c r="F8" s="21" t="n">
        <f aca="false">IF($A8="",0,N(INDEX('In gebruik'!$J:$J,ROW()+(-3))))</f>
        <v>2024</v>
      </c>
      <c r="G8" s="21" t="n">
        <f aca="false">IF($A8="",0,N(INDEX('In gebruik'!$K:$K,ROW()+(-3))))</f>
        <v>8</v>
      </c>
      <c r="H8" s="12" t="n">
        <f aca="false">IF(G8&gt;0,F8+G8-1,0)</f>
        <v>2031</v>
      </c>
      <c r="I8" s="12" t="n">
        <f aca="false">IF($A8="",0,IF(N(INDEX('In gebruik'!$W:$W,ROW()+(-3)))&gt;0,N(INDEX('In gebruik'!$W:$W,ROW()+(-3))),IF(G8&gt;0,MAX(F8+G8,p_Start),0)))</f>
        <v>2032</v>
      </c>
      <c r="J8" s="22" t="str">
        <f aca="false">IF($A8="","",IF(AND(G8&gt;0,F8+G8&lt;p_Start),"Over levensduur",IF(AND(I8&gt;0,I8&lt;=p_Start+3),"In begrotingsperiode","")))</f>
        <v/>
      </c>
      <c r="K8" s="23" t="n">
        <f aca="false">IF($E8="Lease-koop",p_Aanbet,0)</f>
        <v>0</v>
      </c>
      <c r="L8" s="23" t="n">
        <f aca="false">IF($E8="Lease-koop",p_Belet,0)</f>
        <v>0</v>
      </c>
      <c r="M8" s="23" t="n">
        <f aca="false">IF($E8="Lease-koop",p_Opbouw,0)</f>
        <v>0</v>
      </c>
      <c r="N8" s="23" t="n">
        <f aca="false">IF($E8="Lease-koop",p_Slot,0)</f>
        <v>0</v>
      </c>
      <c r="O8" s="12" t="n">
        <f aca="false">IF($E8="Lease-koop",I8+p_SlotJr,0)</f>
        <v>0</v>
      </c>
      <c r="P8" s="23" t="n">
        <f aca="false">IF($E8="Koop",N(INDEX('In gebruik'!$V:$V,ROW()+(-3))),0)</f>
        <v>248960</v>
      </c>
      <c r="Q8" s="23" t="n">
        <f aca="false">K8+L8+M8+N8+P8</f>
        <v>248960</v>
      </c>
      <c r="R8" s="12" t="n">
        <f aca="false">IF($E8="Lease-koop",p_AfschrLK,IF($E8="Koop",G8,0))</f>
        <v>8</v>
      </c>
      <c r="S8" s="23" t="n">
        <f aca="false">IF(R8&gt;0,Q8/R8,0)</f>
        <v>31120</v>
      </c>
      <c r="T8" s="12" t="n">
        <f aca="false">IF($E8="Lease-koop",O8+1,IF($E8="Koop",I8+1,0))</f>
        <v>2033</v>
      </c>
      <c r="U8" s="23" t="n">
        <f aca="false">IF($E8="Lease-koop",p_Lease,0)</f>
        <v>0</v>
      </c>
      <c r="V8" s="24" t="n">
        <f aca="false">IF($A8="",0,N(INDEX('In gebruik'!$R:$R,ROW()+(-3))))</f>
        <v>0</v>
      </c>
      <c r="W8" s="24" t="n">
        <f aca="false">IF($A8="",0,N(INDEX('In gebruik'!$S:$S,ROW()+(-3))))</f>
        <v>0</v>
      </c>
      <c r="X8" s="21" t="n">
        <f aca="false">IF(W8&gt;0,N(INDEX('In gebruik'!$T:$T,ROW()+(-3))),0)</f>
        <v>0</v>
      </c>
      <c r="Y8" s="24" t="n">
        <f aca="false">IF(W8&gt;0,IF(N(INDEX('In gebruik'!$P:$P,ROW()+(-3)))&gt;0,N(INDEX('In gebruik'!$P:$P,ROW()+(-3))),p_Lease),0)</f>
        <v>0</v>
      </c>
      <c r="AA8" s="23" t="n">
        <f aca="false">IF($Q8+$W8=0,0,IF(AA$7=$I8,$K8+$L8+$M8+$P8,0)+IF(AA$7=$O8,$N8,0)+IF(AA$7=$X8,$W8,0))</f>
        <v>0</v>
      </c>
      <c r="AB8" s="23" t="n">
        <f aca="false">IF($Q8+$W8=0,0,IF(AB$7=$I8,$K8+$L8+$M8+$P8,0)+IF(AB$7=$O8,$N8,0)+IF(AB$7=$X8,$W8,0))</f>
        <v>0</v>
      </c>
      <c r="AC8" s="23" t="n">
        <f aca="false">IF($Q8+$W8=0,0,IF(AC$7=$I8,$K8+$L8+$M8+$P8,0)+IF(AC$7=$O8,$N8,0)+IF(AC$7=$X8,$W8,0))</f>
        <v>0</v>
      </c>
      <c r="AD8" s="23" t="n">
        <f aca="false">IF($Q8+$W8=0,0,IF(AD$7=$I8,$K8+$L8+$M8+$P8,0)+IF(AD$7=$O8,$N8,0)+IF(AD$7=$X8,$W8,0))</f>
        <v>0</v>
      </c>
      <c r="AE8" s="23" t="n">
        <f aca="false">IF($Q8+$W8=0,0,IF(AE$7=$I8,$K8+$L8+$M8+$P8,0)+IF(AE$7=$O8,$N8,0)+IF(AE$7=$X8,$W8,0))</f>
        <v>0</v>
      </c>
      <c r="AF8" s="23" t="n">
        <f aca="false">IF($Q8+$W8=0,0,IF(AF$7=$I8,$K8+$L8+$M8+$P8,0)+IF(AF$7=$O8,$N8,0)+IF(AF$7=$X8,$W8,0))</f>
        <v>248960</v>
      </c>
      <c r="AG8" s="23" t="n">
        <f aca="false">IF($Q8+$W8=0,0,IF(AG$7=$I8,$K8+$L8+$M8+$P8,0)+IF(AG$7=$O8,$N8,0)+IF(AG$7=$X8,$W8,0))</f>
        <v>0</v>
      </c>
      <c r="AH8" s="23" t="n">
        <f aca="false">IF($Q8+$W8=0,0,IF(AH$7=$I8,$K8+$L8+$M8+$P8,0)+IF(AH$7=$O8,$N8,0)+IF(AH$7=$X8,$W8,0))</f>
        <v>0</v>
      </c>
      <c r="AJ8" s="23" t="n">
        <f aca="false">IF(AND($S8&gt;0,AJ$7&gt;=$T8,AJ$7&lt;$T8+$R8),$S8,0)+IF(AND($W8&gt;0,AJ$7&gt;$X8,AJ$7&lt;=$X8+p_AfschrLK),($V8+$W8)/p_AfschrLK,0)</f>
        <v>0</v>
      </c>
      <c r="AK8" s="23" t="n">
        <f aca="false">IF(AND($S8&gt;0,AK$7&gt;=$T8,AK$7&lt;$T8+$R8),$S8,0)+IF(AND($W8&gt;0,AK$7&gt;$X8,AK$7&lt;=$X8+p_AfschrLK),($V8+$W8)/p_AfschrLK,0)</f>
        <v>0</v>
      </c>
      <c r="AL8" s="23" t="n">
        <f aca="false">IF(AND($S8&gt;0,AL$7&gt;=$T8,AL$7&lt;$T8+$R8),$S8,0)+IF(AND($W8&gt;0,AL$7&gt;$X8,AL$7&lt;=$X8+p_AfschrLK),($V8+$W8)/p_AfschrLK,0)</f>
        <v>0</v>
      </c>
      <c r="AM8" s="23" t="n">
        <f aca="false">IF(AND($S8&gt;0,AM$7&gt;=$T8,AM$7&lt;$T8+$R8),$S8,0)+IF(AND($W8&gt;0,AM$7&gt;$X8,AM$7&lt;=$X8+p_AfschrLK),($V8+$W8)/p_AfschrLK,0)</f>
        <v>0</v>
      </c>
      <c r="AN8" s="23" t="n">
        <f aca="false">IF(AND($S8&gt;0,AN$7&gt;=$T8,AN$7&lt;$T8+$R8),$S8,0)+IF(AND($W8&gt;0,AN$7&gt;$X8,AN$7&lt;=$X8+p_AfschrLK),($V8+$W8)/p_AfschrLK,0)</f>
        <v>0</v>
      </c>
      <c r="AO8" s="23" t="n">
        <f aca="false">IF(AND($S8&gt;0,AO$7&gt;=$T8,AO$7&lt;$T8+$R8),$S8,0)+IF(AND($W8&gt;0,AO$7&gt;$X8,AO$7&lt;=$X8+p_AfschrLK),($V8+$W8)/p_AfschrLK,0)</f>
        <v>0</v>
      </c>
      <c r="AP8" s="23" t="n">
        <f aca="false">IF(AND($S8&gt;0,AP$7&gt;=$T8,AP$7&lt;$T8+$R8),$S8,0)+IF(AND($W8&gt;0,AP$7&gt;$X8,AP$7&lt;=$X8+p_AfschrLK),($V8+$W8)/p_AfschrLK,0)</f>
        <v>31120</v>
      </c>
      <c r="AQ8" s="23" t="n">
        <f aca="false">IF(AND($S8&gt;0,AQ$7&gt;=$T8,AQ$7&lt;$T8+$R8),$S8,0)+IF(AND($W8&gt;0,AQ$7&gt;$X8,AQ$7&lt;=$X8+p_AfschrLK),($V8+$W8)/p_AfschrLK,0)</f>
        <v>31120</v>
      </c>
    </row>
    <row r="9" customFormat="false" ht="15" hidden="false" customHeight="false" outlineLevel="0" collapsed="false">
      <c r="A9" s="20" t="str">
        <f aca="false">IF(INDEX('In gebruik'!$A:$A,ROW()+(-3))="","",INDEX('In gebruik'!$A:$A,ROW()+(-3)))</f>
        <v>V02</v>
      </c>
      <c r="B9" s="20" t="str">
        <f aca="false">IF($A9="","",INDEX('In gebruik'!$B:$B,ROW()+(-3))&amp;"")</f>
        <v>06-BVN-2</v>
      </c>
      <c r="C9" s="20" t="str">
        <f aca="false">IF($A9="","",INDEX('In gebruik'!$H:$H,ROW()+(-3))&amp;"")</f>
        <v>Rioolvoertuig</v>
      </c>
      <c r="D9" s="20" t="str">
        <f aca="false">IF($A9="","",INDEX('In gebruik'!$G:$G,ROW()+(-3))&amp;"")</f>
        <v>Rioolvoertuig</v>
      </c>
      <c r="E9" s="20" t="str">
        <f aca="false">IF($A9="","",INDEX('In gebruik'!$U:$U,ROW()+(-3))&amp;"")</f>
        <v>Koop</v>
      </c>
      <c r="F9" s="21" t="n">
        <f aca="false">IF($A9="",0,N(INDEX('In gebruik'!$J:$J,ROW()+(-3))))</f>
        <v>2023</v>
      </c>
      <c r="G9" s="21" t="n">
        <f aca="false">IF($A9="",0,N(INDEX('In gebruik'!$K:$K,ROW()+(-3))))</f>
        <v>12</v>
      </c>
      <c r="H9" s="12" t="n">
        <f aca="false">IF(G9&gt;0,F9+G9-1,0)</f>
        <v>2034</v>
      </c>
      <c r="I9" s="12" t="n">
        <f aca="false">IF($A9="",0,IF(N(INDEX('In gebruik'!$W:$W,ROW()+(-3)))&gt;0,N(INDEX('In gebruik'!$W:$W,ROW()+(-3))),IF(G9&gt;0,MAX(F9+G9,p_Start),0)))</f>
        <v>2035</v>
      </c>
      <c r="J9" s="22" t="str">
        <f aca="false">IF($A9="","",IF(AND(G9&gt;0,F9+G9&lt;p_Start),"Over levensduur",IF(AND(I9&gt;0,I9&lt;=p_Start+3),"In begrotingsperiode","")))</f>
        <v/>
      </c>
      <c r="K9" s="23" t="n">
        <f aca="false">IF($E9="Lease-koop",p_Aanbet,0)</f>
        <v>0</v>
      </c>
      <c r="L9" s="23" t="n">
        <f aca="false">IF($E9="Lease-koop",p_Belet,0)</f>
        <v>0</v>
      </c>
      <c r="M9" s="23" t="n">
        <f aca="false">IF($E9="Lease-koop",p_Opbouw,0)</f>
        <v>0</v>
      </c>
      <c r="N9" s="23" t="n">
        <f aca="false">IF($E9="Lease-koop",p_Slot,0)</f>
        <v>0</v>
      </c>
      <c r="O9" s="12" t="n">
        <f aca="false">IF($E9="Lease-koop",I9+p_SlotJr,0)</f>
        <v>0</v>
      </c>
      <c r="P9" s="23" t="n">
        <f aca="false">IF($E9="Koop",N(INDEX('In gebruik'!$V:$V,ROW()+(-3))),0)</f>
        <v>358180</v>
      </c>
      <c r="Q9" s="23" t="n">
        <f aca="false">K9+L9+M9+N9+P9</f>
        <v>358180</v>
      </c>
      <c r="R9" s="12" t="n">
        <f aca="false">IF($E9="Lease-koop",p_AfschrLK,IF($E9="Koop",G9,0))</f>
        <v>12</v>
      </c>
      <c r="S9" s="23" t="n">
        <f aca="false">IF(R9&gt;0,Q9/R9,0)</f>
        <v>29848.3333333333</v>
      </c>
      <c r="T9" s="12" t="n">
        <f aca="false">IF($E9="Lease-koop",O9+1,IF($E9="Koop",I9+1,0))</f>
        <v>2036</v>
      </c>
      <c r="U9" s="23" t="n">
        <f aca="false">IF($E9="Lease-koop",p_Lease,0)</f>
        <v>0</v>
      </c>
      <c r="V9" s="24" t="n">
        <f aca="false">IF($A9="",0,N(INDEX('In gebruik'!$R:$R,ROW()+(-3))))</f>
        <v>0</v>
      </c>
      <c r="W9" s="24" t="n">
        <f aca="false">IF($A9="",0,N(INDEX('In gebruik'!$S:$S,ROW()+(-3))))</f>
        <v>0</v>
      </c>
      <c r="X9" s="21" t="n">
        <f aca="false">IF(W9&gt;0,N(INDEX('In gebruik'!$T:$T,ROW()+(-3))),0)</f>
        <v>0</v>
      </c>
      <c r="Y9" s="24" t="n">
        <f aca="false">IF(W9&gt;0,IF(N(INDEX('In gebruik'!$P:$P,ROW()+(-3)))&gt;0,N(INDEX('In gebruik'!$P:$P,ROW()+(-3))),p_Lease),0)</f>
        <v>0</v>
      </c>
      <c r="AA9" s="23" t="n">
        <f aca="false">IF($Q9+$W9=0,0,IF(AA$7=$I9,$K9+$L9+$M9+$P9,0)+IF(AA$7=$O9,$N9,0)+IF(AA$7=$X9,$W9,0))</f>
        <v>0</v>
      </c>
      <c r="AB9" s="23" t="n">
        <f aca="false">IF($Q9+$W9=0,0,IF(AB$7=$I9,$K9+$L9+$M9+$P9,0)+IF(AB$7=$O9,$N9,0)+IF(AB$7=$X9,$W9,0))</f>
        <v>0</v>
      </c>
      <c r="AC9" s="23" t="n">
        <f aca="false">IF($Q9+$W9=0,0,IF(AC$7=$I9,$K9+$L9+$M9+$P9,0)+IF(AC$7=$O9,$N9,0)+IF(AC$7=$X9,$W9,0))</f>
        <v>0</v>
      </c>
      <c r="AD9" s="23" t="n">
        <f aca="false">IF($Q9+$W9=0,0,IF(AD$7=$I9,$K9+$L9+$M9+$P9,0)+IF(AD$7=$O9,$N9,0)+IF(AD$7=$X9,$W9,0))</f>
        <v>0</v>
      </c>
      <c r="AE9" s="23" t="n">
        <f aca="false">IF($Q9+$W9=0,0,IF(AE$7=$I9,$K9+$L9+$M9+$P9,0)+IF(AE$7=$O9,$N9,0)+IF(AE$7=$X9,$W9,0))</f>
        <v>0</v>
      </c>
      <c r="AF9" s="23" t="n">
        <f aca="false">IF($Q9+$W9=0,0,IF(AF$7=$I9,$K9+$L9+$M9+$P9,0)+IF(AF$7=$O9,$N9,0)+IF(AF$7=$X9,$W9,0))</f>
        <v>0</v>
      </c>
      <c r="AG9" s="23" t="n">
        <f aca="false">IF($Q9+$W9=0,0,IF(AG$7=$I9,$K9+$L9+$M9+$P9,0)+IF(AG$7=$O9,$N9,0)+IF(AG$7=$X9,$W9,0))</f>
        <v>0</v>
      </c>
      <c r="AH9" s="23" t="n">
        <f aca="false">IF($Q9+$W9=0,0,IF(AH$7=$I9,$K9+$L9+$M9+$P9,0)+IF(AH$7=$O9,$N9,0)+IF(AH$7=$X9,$W9,0))</f>
        <v>0</v>
      </c>
      <c r="AJ9" s="23" t="n">
        <f aca="false">IF(AND($S9&gt;0,AJ$7&gt;=$T9,AJ$7&lt;$T9+$R9),$S9,0)+IF(AND($W9&gt;0,AJ$7&gt;$X9,AJ$7&lt;=$X9+p_AfschrLK),($V9+$W9)/p_AfschrLK,0)</f>
        <v>0</v>
      </c>
      <c r="AK9" s="23" t="n">
        <f aca="false">IF(AND($S9&gt;0,AK$7&gt;=$T9,AK$7&lt;$T9+$R9),$S9,0)+IF(AND($W9&gt;0,AK$7&gt;$X9,AK$7&lt;=$X9+p_AfschrLK),($V9+$W9)/p_AfschrLK,0)</f>
        <v>0</v>
      </c>
      <c r="AL9" s="23" t="n">
        <f aca="false">IF(AND($S9&gt;0,AL$7&gt;=$T9,AL$7&lt;$T9+$R9),$S9,0)+IF(AND($W9&gt;0,AL$7&gt;$X9,AL$7&lt;=$X9+p_AfschrLK),($V9+$W9)/p_AfschrLK,0)</f>
        <v>0</v>
      </c>
      <c r="AM9" s="23" t="n">
        <f aca="false">IF(AND($S9&gt;0,AM$7&gt;=$T9,AM$7&lt;$T9+$R9),$S9,0)+IF(AND($W9&gt;0,AM$7&gt;$X9,AM$7&lt;=$X9+p_AfschrLK),($V9+$W9)/p_AfschrLK,0)</f>
        <v>0</v>
      </c>
      <c r="AN9" s="23" t="n">
        <f aca="false">IF(AND($S9&gt;0,AN$7&gt;=$T9,AN$7&lt;$T9+$R9),$S9,0)+IF(AND($W9&gt;0,AN$7&gt;$X9,AN$7&lt;=$X9+p_AfschrLK),($V9+$W9)/p_AfschrLK,0)</f>
        <v>0</v>
      </c>
      <c r="AO9" s="23" t="n">
        <f aca="false">IF(AND($S9&gt;0,AO$7&gt;=$T9,AO$7&lt;$T9+$R9),$S9,0)+IF(AND($W9&gt;0,AO$7&gt;$X9,AO$7&lt;=$X9+p_AfschrLK),($V9+$W9)/p_AfschrLK,0)</f>
        <v>0</v>
      </c>
      <c r="AP9" s="23" t="n">
        <f aca="false">IF(AND($S9&gt;0,AP$7&gt;=$T9,AP$7&lt;$T9+$R9),$S9,0)+IF(AND($W9&gt;0,AP$7&gt;$X9,AP$7&lt;=$X9+p_AfschrLK),($V9+$W9)/p_AfschrLK,0)</f>
        <v>0</v>
      </c>
      <c r="AQ9" s="23" t="n">
        <f aca="false">IF(AND($S9&gt;0,AQ$7&gt;=$T9,AQ$7&lt;$T9+$R9),$S9,0)+IF(AND($W9&gt;0,AQ$7&gt;$X9,AQ$7&lt;=$X9+p_AfschrLK),($V9+$W9)/p_AfschrLK,0)</f>
        <v>0</v>
      </c>
    </row>
    <row r="10" customFormat="false" ht="15" hidden="false" customHeight="false" outlineLevel="0" collapsed="false">
      <c r="A10" s="20" t="str">
        <f aca="false">IF(INDEX('In gebruik'!$A:$A,ROW()+(-3))="","",INDEX('In gebruik'!$A:$A,ROW()+(-3)))</f>
        <v>V03</v>
      </c>
      <c r="B10" s="20" t="str">
        <f aca="false">IF($A10="","",INDEX('In gebruik'!$B:$B,ROW()+(-3))&amp;"")</f>
        <v>BZ-TZ-45</v>
      </c>
      <c r="C10" s="20" t="str">
        <f aca="false">IF($A10="","",INDEX('In gebruik'!$H:$H,ROW()+(-3))&amp;"")</f>
        <v>Vrachtwagen</v>
      </c>
      <c r="D10" s="20" t="str">
        <f aca="false">IF($A10="","",INDEX('In gebruik'!$G:$G,ROW()+(-3))&amp;"")</f>
        <v>Vrachtwagen</v>
      </c>
      <c r="E10" s="20" t="str">
        <f aca="false">IF($A10="","",INDEX('In gebruik'!$U:$U,ROW()+(-3))&amp;"")</f>
        <v>Doorschuiven</v>
      </c>
      <c r="F10" s="21" t="n">
        <f aca="false">IF($A10="",0,N(INDEX('In gebruik'!$J:$J,ROW()+(-3))))</f>
        <v>2012</v>
      </c>
      <c r="G10" s="21" t="n">
        <f aca="false">IF($A10="",0,N(INDEX('In gebruik'!$K:$K,ROW()+(-3))))</f>
        <v>0</v>
      </c>
      <c r="H10" s="12" t="n">
        <f aca="false">IF(G10&gt;0,F10+G10-1,0)</f>
        <v>0</v>
      </c>
      <c r="I10" s="12" t="n">
        <f aca="false">IF($A10="",0,IF(N(INDEX('In gebruik'!$W:$W,ROW()+(-3)))&gt;0,N(INDEX('In gebruik'!$W:$W,ROW()+(-3))),IF(G10&gt;0,MAX(F10+G10,p_Start),0)))</f>
        <v>2032</v>
      </c>
      <c r="J10" s="22" t="str">
        <f aca="false">IF($A10="","",IF(AND(G10&gt;0,F10+G10&lt;p_Start),"Over levensduur",IF(AND(I10&gt;0,I10&lt;=p_Start+3),"In begrotingsperiode","")))</f>
        <v/>
      </c>
      <c r="K10" s="23" t="n">
        <f aca="false">IF($E10="Lease-koop",p_Aanbet,0)</f>
        <v>0</v>
      </c>
      <c r="L10" s="23" t="n">
        <f aca="false">IF($E10="Lease-koop",p_Belet,0)</f>
        <v>0</v>
      </c>
      <c r="M10" s="23" t="n">
        <f aca="false">IF($E10="Lease-koop",p_Opbouw,0)</f>
        <v>0</v>
      </c>
      <c r="N10" s="23" t="n">
        <f aca="false">IF($E10="Lease-koop",p_Slot,0)</f>
        <v>0</v>
      </c>
      <c r="O10" s="12" t="n">
        <f aca="false">IF($E10="Lease-koop",I10+p_SlotJr,0)</f>
        <v>0</v>
      </c>
      <c r="P10" s="23" t="n">
        <f aca="false">IF($E10="Koop",N(INDEX('In gebruik'!$V:$V,ROW()+(-3))),0)</f>
        <v>0</v>
      </c>
      <c r="Q10" s="23" t="n">
        <f aca="false">K10+L10+M10+N10+P10</f>
        <v>0</v>
      </c>
      <c r="R10" s="12" t="n">
        <f aca="false">IF($E10="Lease-koop",p_AfschrLK,IF($E10="Koop",G10,0))</f>
        <v>0</v>
      </c>
      <c r="S10" s="23" t="n">
        <f aca="false">IF(R10&gt;0,Q10/R10,0)</f>
        <v>0</v>
      </c>
      <c r="T10" s="12" t="n">
        <f aca="false">IF($E10="Lease-koop",O10+1,IF($E10="Koop",I10+1,0))</f>
        <v>0</v>
      </c>
      <c r="U10" s="23" t="n">
        <f aca="false">IF($E10="Lease-koop",p_Lease,0)</f>
        <v>0</v>
      </c>
      <c r="V10" s="24" t="n">
        <f aca="false">IF($A10="",0,N(INDEX('In gebruik'!$R:$R,ROW()+(-3))))</f>
        <v>0</v>
      </c>
      <c r="W10" s="24" t="n">
        <f aca="false">IF($A10="",0,N(INDEX('In gebruik'!$S:$S,ROW()+(-3))))</f>
        <v>0</v>
      </c>
      <c r="X10" s="21" t="n">
        <f aca="false">IF(W10&gt;0,N(INDEX('In gebruik'!$T:$T,ROW()+(-3))),0)</f>
        <v>0</v>
      </c>
      <c r="Y10" s="24" t="n">
        <f aca="false">IF(W10&gt;0,IF(N(INDEX('In gebruik'!$P:$P,ROW()+(-3)))&gt;0,N(INDEX('In gebruik'!$P:$P,ROW()+(-3))),p_Lease),0)</f>
        <v>0</v>
      </c>
      <c r="AA10" s="23" t="n">
        <f aca="false">IF($Q10+$W10=0,0,IF(AA$7=$I10,$K10+$L10+$M10+$P10,0)+IF(AA$7=$O10,$N10,0)+IF(AA$7=$X10,$W10,0))</f>
        <v>0</v>
      </c>
      <c r="AB10" s="23" t="n">
        <f aca="false">IF($Q10+$W10=0,0,IF(AB$7=$I10,$K10+$L10+$M10+$P10,0)+IF(AB$7=$O10,$N10,0)+IF(AB$7=$X10,$W10,0))</f>
        <v>0</v>
      </c>
      <c r="AC10" s="23" t="n">
        <f aca="false">IF($Q10+$W10=0,0,IF(AC$7=$I10,$K10+$L10+$M10+$P10,0)+IF(AC$7=$O10,$N10,0)+IF(AC$7=$X10,$W10,0))</f>
        <v>0</v>
      </c>
      <c r="AD10" s="23" t="n">
        <f aca="false">IF($Q10+$W10=0,0,IF(AD$7=$I10,$K10+$L10+$M10+$P10,0)+IF(AD$7=$O10,$N10,0)+IF(AD$7=$X10,$W10,0))</f>
        <v>0</v>
      </c>
      <c r="AE10" s="23" t="n">
        <f aca="false">IF($Q10+$W10=0,0,IF(AE$7=$I10,$K10+$L10+$M10+$P10,0)+IF(AE$7=$O10,$N10,0)+IF(AE$7=$X10,$W10,0))</f>
        <v>0</v>
      </c>
      <c r="AF10" s="23" t="n">
        <f aca="false">IF($Q10+$W10=0,0,IF(AF$7=$I10,$K10+$L10+$M10+$P10,0)+IF(AF$7=$O10,$N10,0)+IF(AF$7=$X10,$W10,0))</f>
        <v>0</v>
      </c>
      <c r="AG10" s="23" t="n">
        <f aca="false">IF($Q10+$W10=0,0,IF(AG$7=$I10,$K10+$L10+$M10+$P10,0)+IF(AG$7=$O10,$N10,0)+IF(AG$7=$X10,$W10,0))</f>
        <v>0</v>
      </c>
      <c r="AH10" s="23" t="n">
        <f aca="false">IF($Q10+$W10=0,0,IF(AH$7=$I10,$K10+$L10+$M10+$P10,0)+IF(AH$7=$O10,$N10,0)+IF(AH$7=$X10,$W10,0))</f>
        <v>0</v>
      </c>
      <c r="AJ10" s="23" t="n">
        <f aca="false">IF(AND($S10&gt;0,AJ$7&gt;=$T10,AJ$7&lt;$T10+$R10),$S10,0)+IF(AND($W10&gt;0,AJ$7&gt;$X10,AJ$7&lt;=$X10+p_AfschrLK),($V10+$W10)/p_AfschrLK,0)</f>
        <v>0</v>
      </c>
      <c r="AK10" s="23" t="n">
        <f aca="false">IF(AND($S10&gt;0,AK$7&gt;=$T10,AK$7&lt;$T10+$R10),$S10,0)+IF(AND($W10&gt;0,AK$7&gt;$X10,AK$7&lt;=$X10+p_AfschrLK),($V10+$W10)/p_AfschrLK,0)</f>
        <v>0</v>
      </c>
      <c r="AL10" s="23" t="n">
        <f aca="false">IF(AND($S10&gt;0,AL$7&gt;=$T10,AL$7&lt;$T10+$R10),$S10,0)+IF(AND($W10&gt;0,AL$7&gt;$X10,AL$7&lt;=$X10+p_AfschrLK),($V10+$W10)/p_AfschrLK,0)</f>
        <v>0</v>
      </c>
      <c r="AM10" s="23" t="n">
        <f aca="false">IF(AND($S10&gt;0,AM$7&gt;=$T10,AM$7&lt;$T10+$R10),$S10,0)+IF(AND($W10&gt;0,AM$7&gt;$X10,AM$7&lt;=$X10+p_AfschrLK),($V10+$W10)/p_AfschrLK,0)</f>
        <v>0</v>
      </c>
      <c r="AN10" s="23" t="n">
        <f aca="false">IF(AND($S10&gt;0,AN$7&gt;=$T10,AN$7&lt;$T10+$R10),$S10,0)+IF(AND($W10&gt;0,AN$7&gt;$X10,AN$7&lt;=$X10+p_AfschrLK),($V10+$W10)/p_AfschrLK,0)</f>
        <v>0</v>
      </c>
      <c r="AO10" s="23" t="n">
        <f aca="false">IF(AND($S10&gt;0,AO$7&gt;=$T10,AO$7&lt;$T10+$R10),$S10,0)+IF(AND($W10&gt;0,AO$7&gt;$X10,AO$7&lt;=$X10+p_AfschrLK),($V10+$W10)/p_AfschrLK,0)</f>
        <v>0</v>
      </c>
      <c r="AP10" s="23" t="n">
        <f aca="false">IF(AND($S10&gt;0,AP$7&gt;=$T10,AP$7&lt;$T10+$R10),$S10,0)+IF(AND($W10&gt;0,AP$7&gt;$X10,AP$7&lt;=$X10+p_AfschrLK),($V10+$W10)/p_AfschrLK,0)</f>
        <v>0</v>
      </c>
      <c r="AQ10" s="23" t="n">
        <f aca="false">IF(AND($S10&gt;0,AQ$7&gt;=$T10,AQ$7&lt;$T10+$R10),$S10,0)+IF(AND($W10&gt;0,AQ$7&gt;$X10,AQ$7&lt;=$X10+p_AfschrLK),($V10+$W10)/p_AfschrLK,0)</f>
        <v>0</v>
      </c>
    </row>
    <row r="11" customFormat="false" ht="15" hidden="false" customHeight="false" outlineLevel="0" collapsed="false">
      <c r="A11" s="20" t="str">
        <f aca="false">IF(INDEX('In gebruik'!$A:$A,ROW()+(-3))="","",INDEX('In gebruik'!$A:$A,ROW()+(-3)))</f>
        <v>V04</v>
      </c>
      <c r="B11" s="20" t="str">
        <f aca="false">IF($A11="","",INDEX('In gebruik'!$B:$B,ROW()+(-3))&amp;"")</f>
        <v>V-88-FPL</v>
      </c>
      <c r="C11" s="20" t="str">
        <f aca="false">IF($A11="","",INDEX('In gebruik'!$H:$H,ROW()+(-3))&amp;"")</f>
        <v>bedrijfsauto</v>
      </c>
      <c r="D11" s="20" t="str">
        <f aca="false">IF($A11="","",INDEX('In gebruik'!$G:$G,ROW()+(-3))&amp;"")</f>
        <v>Stratenmakers</v>
      </c>
      <c r="E11" s="20" t="str">
        <f aca="false">IF($A11="","",INDEX('In gebruik'!$U:$U,ROW()+(-3))&amp;"")</f>
        <v>Lease-koop</v>
      </c>
      <c r="F11" s="21" t="n">
        <f aca="false">IF($A11="",0,N(INDEX('In gebruik'!$J:$J,ROW()+(-3))))</f>
        <v>2024</v>
      </c>
      <c r="G11" s="21" t="n">
        <f aca="false">IF($A11="",0,N(INDEX('In gebruik'!$K:$K,ROW()+(-3))))</f>
        <v>8</v>
      </c>
      <c r="H11" s="12" t="n">
        <f aca="false">IF(G11&gt;0,F11+G11-1,0)</f>
        <v>2031</v>
      </c>
      <c r="I11" s="12" t="n">
        <f aca="false">IF($A11="",0,IF(N(INDEX('In gebruik'!$W:$W,ROW()+(-3)))&gt;0,N(INDEX('In gebruik'!$W:$W,ROW()+(-3))),IF(G11&gt;0,MAX(F11+G11,p_Start),0)))</f>
        <v>2032</v>
      </c>
      <c r="J11" s="22" t="str">
        <f aca="false">IF($A11="","",IF(AND(G11&gt;0,F11+G11&lt;p_Start),"Over levensduur",IF(AND(I11&gt;0,I11&lt;=p_Start+3),"In begrotingsperiode","")))</f>
        <v/>
      </c>
      <c r="K11" s="23" t="n">
        <f aca="false">IF($E11="Lease-koop",p_Aanbet,0)</f>
        <v>10000</v>
      </c>
      <c r="L11" s="23" t="n">
        <f aca="false">IF($E11="Lease-koop",p_Belet,0)</f>
        <v>5000</v>
      </c>
      <c r="M11" s="23" t="n">
        <f aca="false">IF($E11="Lease-koop",p_Opbouw,0)</f>
        <v>7000</v>
      </c>
      <c r="N11" s="23" t="n">
        <f aca="false">IF($E11="Lease-koop",p_Slot,0)</f>
        <v>35000</v>
      </c>
      <c r="O11" s="12" t="n">
        <f aca="false">IF($E11="Lease-koop",I11+p_SlotJr,0)</f>
        <v>2034</v>
      </c>
      <c r="P11" s="23" t="n">
        <f aca="false">IF($E11="Koop",N(INDEX('In gebruik'!$V:$V,ROW()+(-3))),0)</f>
        <v>0</v>
      </c>
      <c r="Q11" s="23" t="n">
        <f aca="false">K11+L11+M11+N11+P11</f>
        <v>57000</v>
      </c>
      <c r="R11" s="12" t="n">
        <f aca="false">IF($E11="Lease-koop",p_AfschrLK,IF($E11="Koop",G11,0))</f>
        <v>6</v>
      </c>
      <c r="S11" s="23" t="n">
        <f aca="false">IF(R11&gt;0,Q11/R11,0)</f>
        <v>9500</v>
      </c>
      <c r="T11" s="12" t="n">
        <f aca="false">IF($E11="Lease-koop",O11+1,IF($E11="Koop",I11+1,0))</f>
        <v>2035</v>
      </c>
      <c r="U11" s="23" t="n">
        <f aca="false">IF($E11="Lease-koop",p_Lease,0)</f>
        <v>12000</v>
      </c>
      <c r="V11" s="24" t="n">
        <f aca="false">IF($A11="",0,N(INDEX('In gebruik'!$R:$R,ROW()+(-3))))</f>
        <v>0</v>
      </c>
      <c r="W11" s="24" t="n">
        <f aca="false">IF($A11="",0,N(INDEX('In gebruik'!$S:$S,ROW()+(-3))))</f>
        <v>0</v>
      </c>
      <c r="X11" s="21" t="n">
        <f aca="false">IF(W11&gt;0,N(INDEX('In gebruik'!$T:$T,ROW()+(-3))),0)</f>
        <v>0</v>
      </c>
      <c r="Y11" s="24" t="n">
        <f aca="false">IF(W11&gt;0,IF(N(INDEX('In gebruik'!$P:$P,ROW()+(-3)))&gt;0,N(INDEX('In gebruik'!$P:$P,ROW()+(-3))),p_Lease),0)</f>
        <v>0</v>
      </c>
      <c r="AA11" s="23" t="n">
        <f aca="false">IF($Q11+$W11=0,0,IF(AA$7=$I11,$K11+$L11+$M11+$P11,0)+IF(AA$7=$O11,$N11,0)+IF(AA$7=$X11,$W11,0))</f>
        <v>0</v>
      </c>
      <c r="AB11" s="23" t="n">
        <f aca="false">IF($Q11+$W11=0,0,IF(AB$7=$I11,$K11+$L11+$M11+$P11,0)+IF(AB$7=$O11,$N11,0)+IF(AB$7=$X11,$W11,0))</f>
        <v>0</v>
      </c>
      <c r="AC11" s="23" t="n">
        <f aca="false">IF($Q11+$W11=0,0,IF(AC$7=$I11,$K11+$L11+$M11+$P11,0)+IF(AC$7=$O11,$N11,0)+IF(AC$7=$X11,$W11,0))</f>
        <v>0</v>
      </c>
      <c r="AD11" s="23" t="n">
        <f aca="false">IF($Q11+$W11=0,0,IF(AD$7=$I11,$K11+$L11+$M11+$P11,0)+IF(AD$7=$O11,$N11,0)+IF(AD$7=$X11,$W11,0))</f>
        <v>0</v>
      </c>
      <c r="AE11" s="23" t="n">
        <f aca="false">IF($Q11+$W11=0,0,IF(AE$7=$I11,$K11+$L11+$M11+$P11,0)+IF(AE$7=$O11,$N11,0)+IF(AE$7=$X11,$W11,0))</f>
        <v>0</v>
      </c>
      <c r="AF11" s="23" t="n">
        <f aca="false">IF($Q11+$W11=0,0,IF(AF$7=$I11,$K11+$L11+$M11+$P11,0)+IF(AF$7=$O11,$N11,0)+IF(AF$7=$X11,$W11,0))</f>
        <v>22000</v>
      </c>
      <c r="AG11" s="23" t="n">
        <f aca="false">IF($Q11+$W11=0,0,IF(AG$7=$I11,$K11+$L11+$M11+$P11,0)+IF(AG$7=$O11,$N11,0)+IF(AG$7=$X11,$W11,0))</f>
        <v>0</v>
      </c>
      <c r="AH11" s="23" t="n">
        <f aca="false">IF($Q11+$W11=0,0,IF(AH$7=$I11,$K11+$L11+$M11+$P11,0)+IF(AH$7=$O11,$N11,0)+IF(AH$7=$X11,$W11,0))</f>
        <v>35000</v>
      </c>
      <c r="AJ11" s="23" t="n">
        <f aca="false">IF(AND($S11&gt;0,AJ$7&gt;=$T11,AJ$7&lt;$T11+$R11),$S11,0)+IF(AND($W11&gt;0,AJ$7&gt;$X11,AJ$7&lt;=$X11+p_AfschrLK),($V11+$W11)/p_AfschrLK,0)</f>
        <v>0</v>
      </c>
      <c r="AK11" s="23" t="n">
        <f aca="false">IF(AND($S11&gt;0,AK$7&gt;=$T11,AK$7&lt;$T11+$R11),$S11,0)+IF(AND($W11&gt;0,AK$7&gt;$X11,AK$7&lt;=$X11+p_AfschrLK),($V11+$W11)/p_AfschrLK,0)</f>
        <v>0</v>
      </c>
      <c r="AL11" s="23" t="n">
        <f aca="false">IF(AND($S11&gt;0,AL$7&gt;=$T11,AL$7&lt;$T11+$R11),$S11,0)+IF(AND($W11&gt;0,AL$7&gt;$X11,AL$7&lt;=$X11+p_AfschrLK),($V11+$W11)/p_AfschrLK,0)</f>
        <v>0</v>
      </c>
      <c r="AM11" s="23" t="n">
        <f aca="false">IF(AND($S11&gt;0,AM$7&gt;=$T11,AM$7&lt;$T11+$R11),$S11,0)+IF(AND($W11&gt;0,AM$7&gt;$X11,AM$7&lt;=$X11+p_AfschrLK),($V11+$W11)/p_AfschrLK,0)</f>
        <v>0</v>
      </c>
      <c r="AN11" s="23" t="n">
        <f aca="false">IF(AND($S11&gt;0,AN$7&gt;=$T11,AN$7&lt;$T11+$R11),$S11,0)+IF(AND($W11&gt;0,AN$7&gt;$X11,AN$7&lt;=$X11+p_AfschrLK),($V11+$W11)/p_AfschrLK,0)</f>
        <v>0</v>
      </c>
      <c r="AO11" s="23" t="n">
        <f aca="false">IF(AND($S11&gt;0,AO$7&gt;=$T11,AO$7&lt;$T11+$R11),$S11,0)+IF(AND($W11&gt;0,AO$7&gt;$X11,AO$7&lt;=$X11+p_AfschrLK),($V11+$W11)/p_AfschrLK,0)</f>
        <v>0</v>
      </c>
      <c r="AP11" s="23" t="n">
        <f aca="false">IF(AND($S11&gt;0,AP$7&gt;=$T11,AP$7&lt;$T11+$R11),$S11,0)+IF(AND($W11&gt;0,AP$7&gt;$X11,AP$7&lt;=$X11+p_AfschrLK),($V11+$W11)/p_AfschrLK,0)</f>
        <v>0</v>
      </c>
      <c r="AQ11" s="23" t="n">
        <f aca="false">IF(AND($S11&gt;0,AQ$7&gt;=$T11,AQ$7&lt;$T11+$R11),$S11,0)+IF(AND($W11&gt;0,AQ$7&gt;$X11,AQ$7&lt;=$X11+p_AfschrLK),($V11+$W11)/p_AfschrLK,0)</f>
        <v>0</v>
      </c>
    </row>
    <row r="12" customFormat="false" ht="15" hidden="false" customHeight="false" outlineLevel="0" collapsed="false">
      <c r="A12" s="20" t="str">
        <f aca="false">IF(INDEX('In gebruik'!$A:$A,ROW()+(-3))="","",INDEX('In gebruik'!$A:$A,ROW()+(-3)))</f>
        <v>V05</v>
      </c>
      <c r="B12" s="20" t="str">
        <f aca="false">IF($A12="","",INDEX('In gebruik'!$B:$B,ROW()+(-3))&amp;"")</f>
        <v>H-872-GK</v>
      </c>
      <c r="C12" s="20" t="str">
        <f aca="false">IF($A12="","",INDEX('In gebruik'!$H:$H,ROW()+(-3))&amp;"")</f>
        <v>personenauto</v>
      </c>
      <c r="D12" s="20" t="str">
        <f aca="false">IF($A12="","",INDEX('In gebruik'!$G:$G,ROW()+(-3))&amp;"")</f>
        <v>Kantoor</v>
      </c>
      <c r="E12" s="20" t="str">
        <f aca="false">IF($A12="","",INDEX('In gebruik'!$U:$U,ROW()+(-3))&amp;"")</f>
        <v>Lease-koop</v>
      </c>
      <c r="F12" s="21" t="n">
        <f aca="false">IF($A12="",0,N(INDEX('In gebruik'!$J:$J,ROW()+(-3))))</f>
        <v>2021</v>
      </c>
      <c r="G12" s="21" t="n">
        <f aca="false">IF($A12="",0,N(INDEX('In gebruik'!$K:$K,ROW()+(-3))))</f>
        <v>8</v>
      </c>
      <c r="H12" s="12" t="n">
        <f aca="false">IF(G12&gt;0,F12+G12-1,0)</f>
        <v>2028</v>
      </c>
      <c r="I12" s="12" t="n">
        <f aca="false">IF($A12="",0,IF(N(INDEX('In gebruik'!$W:$W,ROW()+(-3)))&gt;0,N(INDEX('In gebruik'!$W:$W,ROW()+(-3))),IF(G12&gt;0,MAX(F12+G12,p_Start),0)))</f>
        <v>2029</v>
      </c>
      <c r="J12" s="22" t="str">
        <f aca="false">IF($A12="","",IF(AND(G12&gt;0,F12+G12&lt;p_Start),"Over levensduur",IF(AND(I12&gt;0,I12&lt;=p_Start+3),"In begrotingsperiode","")))</f>
        <v>In begrotingsperiode</v>
      </c>
      <c r="K12" s="23" t="n">
        <f aca="false">IF($E12="Lease-koop",p_Aanbet,0)</f>
        <v>10000</v>
      </c>
      <c r="L12" s="23" t="n">
        <f aca="false">IF($E12="Lease-koop",p_Belet,0)</f>
        <v>5000</v>
      </c>
      <c r="M12" s="23" t="n">
        <f aca="false">IF($E12="Lease-koop",p_Opbouw,0)</f>
        <v>7000</v>
      </c>
      <c r="N12" s="23" t="n">
        <f aca="false">IF($E12="Lease-koop",p_Slot,0)</f>
        <v>35000</v>
      </c>
      <c r="O12" s="12" t="n">
        <f aca="false">IF($E12="Lease-koop",I12+p_SlotJr,0)</f>
        <v>2031</v>
      </c>
      <c r="P12" s="23" t="n">
        <f aca="false">IF($E12="Koop",N(INDEX('In gebruik'!$V:$V,ROW()+(-3))),0)</f>
        <v>0</v>
      </c>
      <c r="Q12" s="23" t="n">
        <f aca="false">K12+L12+M12+N12+P12</f>
        <v>57000</v>
      </c>
      <c r="R12" s="12" t="n">
        <f aca="false">IF($E12="Lease-koop",p_AfschrLK,IF($E12="Koop",G12,0))</f>
        <v>6</v>
      </c>
      <c r="S12" s="23" t="n">
        <f aca="false">IF(R12&gt;0,Q12/R12,0)</f>
        <v>9500</v>
      </c>
      <c r="T12" s="12" t="n">
        <f aca="false">IF($E12="Lease-koop",O12+1,IF($E12="Koop",I12+1,0))</f>
        <v>2032</v>
      </c>
      <c r="U12" s="23" t="n">
        <f aca="false">IF($E12="Lease-koop",p_Lease,0)</f>
        <v>12000</v>
      </c>
      <c r="V12" s="24" t="n">
        <f aca="false">IF($A12="",0,N(INDEX('In gebruik'!$R:$R,ROW()+(-3))))</f>
        <v>0</v>
      </c>
      <c r="W12" s="24" t="n">
        <f aca="false">IF($A12="",0,N(INDEX('In gebruik'!$S:$S,ROW()+(-3))))</f>
        <v>0</v>
      </c>
      <c r="X12" s="21" t="n">
        <f aca="false">IF(W12&gt;0,N(INDEX('In gebruik'!$T:$T,ROW()+(-3))),0)</f>
        <v>0</v>
      </c>
      <c r="Y12" s="24" t="n">
        <f aca="false">IF(W12&gt;0,IF(N(INDEX('In gebruik'!$P:$P,ROW()+(-3)))&gt;0,N(INDEX('In gebruik'!$P:$P,ROW()+(-3))),p_Lease),0)</f>
        <v>0</v>
      </c>
      <c r="AA12" s="23" t="n">
        <f aca="false">IF($Q12+$W12=0,0,IF(AA$7=$I12,$K12+$L12+$M12+$P12,0)+IF(AA$7=$O12,$N12,0)+IF(AA$7=$X12,$W12,0))</f>
        <v>0</v>
      </c>
      <c r="AB12" s="23" t="n">
        <f aca="false">IF($Q12+$W12=0,0,IF(AB$7=$I12,$K12+$L12+$M12+$P12,0)+IF(AB$7=$O12,$N12,0)+IF(AB$7=$X12,$W12,0))</f>
        <v>0</v>
      </c>
      <c r="AC12" s="23" t="n">
        <f aca="false">IF($Q12+$W12=0,0,IF(AC$7=$I12,$K12+$L12+$M12+$P12,0)+IF(AC$7=$O12,$N12,0)+IF(AC$7=$X12,$W12,0))</f>
        <v>22000</v>
      </c>
      <c r="AD12" s="23" t="n">
        <f aca="false">IF($Q12+$W12=0,0,IF(AD$7=$I12,$K12+$L12+$M12+$P12,0)+IF(AD$7=$O12,$N12,0)+IF(AD$7=$X12,$W12,0))</f>
        <v>0</v>
      </c>
      <c r="AE12" s="23" t="n">
        <f aca="false">IF($Q12+$W12=0,0,IF(AE$7=$I12,$K12+$L12+$M12+$P12,0)+IF(AE$7=$O12,$N12,0)+IF(AE$7=$X12,$W12,0))</f>
        <v>35000</v>
      </c>
      <c r="AF12" s="23" t="n">
        <f aca="false">IF($Q12+$W12=0,0,IF(AF$7=$I12,$K12+$L12+$M12+$P12,0)+IF(AF$7=$O12,$N12,0)+IF(AF$7=$X12,$W12,0))</f>
        <v>0</v>
      </c>
      <c r="AG12" s="23" t="n">
        <f aca="false">IF($Q12+$W12=0,0,IF(AG$7=$I12,$K12+$L12+$M12+$P12,0)+IF(AG$7=$O12,$N12,0)+IF(AG$7=$X12,$W12,0))</f>
        <v>0</v>
      </c>
      <c r="AH12" s="23" t="n">
        <f aca="false">IF($Q12+$W12=0,0,IF(AH$7=$I12,$K12+$L12+$M12+$P12,0)+IF(AH$7=$O12,$N12,0)+IF(AH$7=$X12,$W12,0))</f>
        <v>0</v>
      </c>
      <c r="AJ12" s="23" t="n">
        <f aca="false">IF(AND($S12&gt;0,AJ$7&gt;=$T12,AJ$7&lt;$T12+$R12),$S12,0)+IF(AND($W12&gt;0,AJ$7&gt;$X12,AJ$7&lt;=$X12+p_AfschrLK),($V12+$W12)/p_AfschrLK,0)</f>
        <v>0</v>
      </c>
      <c r="AK12" s="23" t="n">
        <f aca="false">IF(AND($S12&gt;0,AK$7&gt;=$T12,AK$7&lt;$T12+$R12),$S12,0)+IF(AND($W12&gt;0,AK$7&gt;$X12,AK$7&lt;=$X12+p_AfschrLK),($V12+$W12)/p_AfschrLK,0)</f>
        <v>0</v>
      </c>
      <c r="AL12" s="23" t="n">
        <f aca="false">IF(AND($S12&gt;0,AL$7&gt;=$T12,AL$7&lt;$T12+$R12),$S12,0)+IF(AND($W12&gt;0,AL$7&gt;$X12,AL$7&lt;=$X12+p_AfschrLK),($V12+$W12)/p_AfschrLK,0)</f>
        <v>0</v>
      </c>
      <c r="AM12" s="23" t="n">
        <f aca="false">IF(AND($S12&gt;0,AM$7&gt;=$T12,AM$7&lt;$T12+$R12),$S12,0)+IF(AND($W12&gt;0,AM$7&gt;$X12,AM$7&lt;=$X12+p_AfschrLK),($V12+$W12)/p_AfschrLK,0)</f>
        <v>0</v>
      </c>
      <c r="AN12" s="23" t="n">
        <f aca="false">IF(AND($S12&gt;0,AN$7&gt;=$T12,AN$7&lt;$T12+$R12),$S12,0)+IF(AND($W12&gt;0,AN$7&gt;$X12,AN$7&lt;=$X12+p_AfschrLK),($V12+$W12)/p_AfschrLK,0)</f>
        <v>0</v>
      </c>
      <c r="AO12" s="23" t="n">
        <f aca="false">IF(AND($S12&gt;0,AO$7&gt;=$T12,AO$7&lt;$T12+$R12),$S12,0)+IF(AND($W12&gt;0,AO$7&gt;$X12,AO$7&lt;=$X12+p_AfschrLK),($V12+$W12)/p_AfschrLK,0)</f>
        <v>9500</v>
      </c>
      <c r="AP12" s="23" t="n">
        <f aca="false">IF(AND($S12&gt;0,AP$7&gt;=$T12,AP$7&lt;$T12+$R12),$S12,0)+IF(AND($W12&gt;0,AP$7&gt;$X12,AP$7&lt;=$X12+p_AfschrLK),($V12+$W12)/p_AfschrLK,0)</f>
        <v>9500</v>
      </c>
      <c r="AQ12" s="23" t="n">
        <f aca="false">IF(AND($S12&gt;0,AQ$7&gt;=$T12,AQ$7&lt;$T12+$R12),$S12,0)+IF(AND($W12&gt;0,AQ$7&gt;$X12,AQ$7&lt;=$X12+p_AfschrLK),($V12+$W12)/p_AfschrLK,0)</f>
        <v>9500</v>
      </c>
    </row>
    <row r="13" customFormat="false" ht="15" hidden="false" customHeight="false" outlineLevel="0" collapsed="false">
      <c r="A13" s="20" t="str">
        <f aca="false">IF(INDEX('In gebruik'!$A:$A,ROW()+(-3))="","",INDEX('In gebruik'!$A:$A,ROW()+(-3)))</f>
        <v>V06</v>
      </c>
      <c r="B13" s="20" t="str">
        <f aca="false">IF($A13="","",INDEX('In gebruik'!$B:$B,ROW()+(-3))&amp;"")</f>
        <v>V-70-NRS</v>
      </c>
      <c r="C13" s="20" t="str">
        <f aca="false">IF($A13="","",INDEX('In gebruik'!$H:$H,ROW()+(-3))&amp;"")</f>
        <v>bedrijfsauto</v>
      </c>
      <c r="D13" s="20" t="str">
        <f aca="false">IF($A13="","",INDEX('In gebruik'!$G:$G,ROW()+(-3))&amp;"")</f>
        <v>Cultuur / Bossen</v>
      </c>
      <c r="E13" s="20" t="str">
        <f aca="false">IF($A13="","",INDEX('In gebruik'!$U:$U,ROW()+(-3))&amp;"")</f>
        <v>Lease-koop</v>
      </c>
      <c r="F13" s="21" t="n">
        <f aca="false">IF($A13="",0,N(INDEX('In gebruik'!$J:$J,ROW()+(-3))))</f>
        <v>2026</v>
      </c>
      <c r="G13" s="21" t="n">
        <f aca="false">IF($A13="",0,N(INDEX('In gebruik'!$K:$K,ROW()+(-3))))</f>
        <v>8</v>
      </c>
      <c r="H13" s="12" t="n">
        <f aca="false">IF(G13&gt;0,F13+G13-1,0)</f>
        <v>2033</v>
      </c>
      <c r="I13" s="12" t="n">
        <f aca="false">IF($A13="",0,IF(N(INDEX('In gebruik'!$W:$W,ROW()+(-3)))&gt;0,N(INDEX('In gebruik'!$W:$W,ROW()+(-3))),IF(G13&gt;0,MAX(F13+G13,p_Start),0)))</f>
        <v>2034</v>
      </c>
      <c r="J13" s="22" t="str">
        <f aca="false">IF($A13="","",IF(AND(G13&gt;0,F13+G13&lt;p_Start),"Over levensduur",IF(AND(I13&gt;0,I13&lt;=p_Start+3),"In begrotingsperiode","")))</f>
        <v/>
      </c>
      <c r="K13" s="23" t="n">
        <f aca="false">IF($E13="Lease-koop",p_Aanbet,0)</f>
        <v>10000</v>
      </c>
      <c r="L13" s="23" t="n">
        <f aca="false">IF($E13="Lease-koop",p_Belet,0)</f>
        <v>5000</v>
      </c>
      <c r="M13" s="23" t="n">
        <f aca="false">IF($E13="Lease-koop",p_Opbouw,0)</f>
        <v>7000</v>
      </c>
      <c r="N13" s="23" t="n">
        <f aca="false">IF($E13="Lease-koop",p_Slot,0)</f>
        <v>35000</v>
      </c>
      <c r="O13" s="12" t="n">
        <f aca="false">IF($E13="Lease-koop",I13+p_SlotJr,0)</f>
        <v>2036</v>
      </c>
      <c r="P13" s="23" t="n">
        <f aca="false">IF($E13="Koop",N(INDEX('In gebruik'!$V:$V,ROW()+(-3))),0)</f>
        <v>0</v>
      </c>
      <c r="Q13" s="23" t="n">
        <f aca="false">K13+L13+M13+N13+P13</f>
        <v>57000</v>
      </c>
      <c r="R13" s="12" t="n">
        <f aca="false">IF($E13="Lease-koop",p_AfschrLK,IF($E13="Koop",G13,0))</f>
        <v>6</v>
      </c>
      <c r="S13" s="23" t="n">
        <f aca="false">IF(R13&gt;0,Q13/R13,0)</f>
        <v>9500</v>
      </c>
      <c r="T13" s="12" t="n">
        <f aca="false">IF($E13="Lease-koop",O13+1,IF($E13="Koop",I13+1,0))</f>
        <v>2037</v>
      </c>
      <c r="U13" s="23" t="n">
        <f aca="false">IF($E13="Lease-koop",p_Lease,0)</f>
        <v>12000</v>
      </c>
      <c r="V13" s="24" t="n">
        <f aca="false">IF($A13="",0,N(INDEX('In gebruik'!$R:$R,ROW()+(-3))))</f>
        <v>11000</v>
      </c>
      <c r="W13" s="24" t="n">
        <f aca="false">IF($A13="",0,N(INDEX('In gebruik'!$S:$S,ROW()+(-3))))</f>
        <v>30000</v>
      </c>
      <c r="X13" s="21" t="n">
        <f aca="false">IF(W13&gt;0,N(INDEX('In gebruik'!$T:$T,ROW()+(-3))),0)</f>
        <v>2028</v>
      </c>
      <c r="Y13" s="24" t="n">
        <f aca="false">IF(W13&gt;0,IF(N(INDEX('In gebruik'!$P:$P,ROW()+(-3)))&gt;0,N(INDEX('In gebruik'!$P:$P,ROW()+(-3))),p_Lease),0)</f>
        <v>11786.52</v>
      </c>
      <c r="AA13" s="23" t="n">
        <f aca="false">IF($Q13+$W13=0,0,IF(AA$7=$I13,$K13+$L13+$M13+$P13,0)+IF(AA$7=$O13,$N13,0)+IF(AA$7=$X13,$W13,0))</f>
        <v>0</v>
      </c>
      <c r="AB13" s="23" t="n">
        <f aca="false">IF($Q13+$W13=0,0,IF(AB$7=$I13,$K13+$L13+$M13+$P13,0)+IF(AB$7=$O13,$N13,0)+IF(AB$7=$X13,$W13,0))</f>
        <v>30000</v>
      </c>
      <c r="AC13" s="23" t="n">
        <f aca="false">IF($Q13+$W13=0,0,IF(AC$7=$I13,$K13+$L13+$M13+$P13,0)+IF(AC$7=$O13,$N13,0)+IF(AC$7=$X13,$W13,0))</f>
        <v>0</v>
      </c>
      <c r="AD13" s="23" t="n">
        <f aca="false">IF($Q13+$W13=0,0,IF(AD$7=$I13,$K13+$L13+$M13+$P13,0)+IF(AD$7=$O13,$N13,0)+IF(AD$7=$X13,$W13,0))</f>
        <v>0</v>
      </c>
      <c r="AE13" s="23" t="n">
        <f aca="false">IF($Q13+$W13=0,0,IF(AE$7=$I13,$K13+$L13+$M13+$P13,0)+IF(AE$7=$O13,$N13,0)+IF(AE$7=$X13,$W13,0))</f>
        <v>0</v>
      </c>
      <c r="AF13" s="23" t="n">
        <f aca="false">IF($Q13+$W13=0,0,IF(AF$7=$I13,$K13+$L13+$M13+$P13,0)+IF(AF$7=$O13,$N13,0)+IF(AF$7=$X13,$W13,0))</f>
        <v>0</v>
      </c>
      <c r="AG13" s="23" t="n">
        <f aca="false">IF($Q13+$W13=0,0,IF(AG$7=$I13,$K13+$L13+$M13+$P13,0)+IF(AG$7=$O13,$N13,0)+IF(AG$7=$X13,$W13,0))</f>
        <v>0</v>
      </c>
      <c r="AH13" s="23" t="n">
        <f aca="false">IF($Q13+$W13=0,0,IF(AH$7=$I13,$K13+$L13+$M13+$P13,0)+IF(AH$7=$O13,$N13,0)+IF(AH$7=$X13,$W13,0))</f>
        <v>22000</v>
      </c>
      <c r="AJ13" s="23" t="n">
        <f aca="false">IF(AND($S13&gt;0,AJ$7&gt;=$T13,AJ$7&lt;$T13+$R13),$S13,0)+IF(AND($W13&gt;0,AJ$7&gt;$X13,AJ$7&lt;=$X13+p_AfschrLK),($V13+$W13)/p_AfschrLK,0)</f>
        <v>0</v>
      </c>
      <c r="AK13" s="23" t="n">
        <f aca="false">IF(AND($S13&gt;0,AK$7&gt;=$T13,AK$7&lt;$T13+$R13),$S13,0)+IF(AND($W13&gt;0,AK$7&gt;$X13,AK$7&lt;=$X13+p_AfschrLK),($V13+$W13)/p_AfschrLK,0)</f>
        <v>0</v>
      </c>
      <c r="AL13" s="23" t="n">
        <f aca="false">IF(AND($S13&gt;0,AL$7&gt;=$T13,AL$7&lt;$T13+$R13),$S13,0)+IF(AND($W13&gt;0,AL$7&gt;$X13,AL$7&lt;=$X13+p_AfschrLK),($V13+$W13)/p_AfschrLK,0)</f>
        <v>6833.33333333333</v>
      </c>
      <c r="AM13" s="23" t="n">
        <f aca="false">IF(AND($S13&gt;0,AM$7&gt;=$T13,AM$7&lt;$T13+$R13),$S13,0)+IF(AND($W13&gt;0,AM$7&gt;$X13,AM$7&lt;=$X13+p_AfschrLK),($V13+$W13)/p_AfschrLK,0)</f>
        <v>6833.33333333333</v>
      </c>
      <c r="AN13" s="23" t="n">
        <f aca="false">IF(AND($S13&gt;0,AN$7&gt;=$T13,AN$7&lt;$T13+$R13),$S13,0)+IF(AND($W13&gt;0,AN$7&gt;$X13,AN$7&lt;=$X13+p_AfschrLK),($V13+$W13)/p_AfschrLK,0)</f>
        <v>6833.33333333333</v>
      </c>
      <c r="AO13" s="23" t="n">
        <f aca="false">IF(AND($S13&gt;0,AO$7&gt;=$T13,AO$7&lt;$T13+$R13),$S13,0)+IF(AND($W13&gt;0,AO$7&gt;$X13,AO$7&lt;=$X13+p_AfschrLK),($V13+$W13)/p_AfschrLK,0)</f>
        <v>6833.33333333333</v>
      </c>
      <c r="AP13" s="23" t="n">
        <f aca="false">IF(AND($S13&gt;0,AP$7&gt;=$T13,AP$7&lt;$T13+$R13),$S13,0)+IF(AND($W13&gt;0,AP$7&gt;$X13,AP$7&lt;=$X13+p_AfschrLK),($V13+$W13)/p_AfschrLK,0)</f>
        <v>6833.33333333333</v>
      </c>
      <c r="AQ13" s="23" t="n">
        <f aca="false">IF(AND($S13&gt;0,AQ$7&gt;=$T13,AQ$7&lt;$T13+$R13),$S13,0)+IF(AND($W13&gt;0,AQ$7&gt;$X13,AQ$7&lt;=$X13+p_AfschrLK),($V13+$W13)/p_AfschrLK,0)</f>
        <v>6833.33333333333</v>
      </c>
    </row>
    <row r="14" customFormat="false" ht="15" hidden="false" customHeight="false" outlineLevel="0" collapsed="false">
      <c r="A14" s="20" t="str">
        <f aca="false">IF(INDEX('In gebruik'!$A:$A,ROW()+(-3))="","",INDEX('In gebruik'!$A:$A,ROW()+(-3)))</f>
        <v>V07</v>
      </c>
      <c r="B14" s="20" t="str">
        <f aca="false">IF($A14="","",INDEX('In gebruik'!$B:$B,ROW()+(-3))&amp;"")</f>
        <v>VG-092-L</v>
      </c>
      <c r="C14" s="20" t="str">
        <f aca="false">IF($A14="","",INDEX('In gebruik'!$H:$H,ROW()+(-3))&amp;"")</f>
        <v>bedrijfsauto</v>
      </c>
      <c r="D14" s="20" t="str">
        <f aca="false">IF($A14="","",INDEX('In gebruik'!$G:$G,ROW()+(-3))&amp;"")</f>
        <v>Algemene dienst</v>
      </c>
      <c r="E14" s="20" t="str">
        <f aca="false">IF($A14="","",INDEX('In gebruik'!$U:$U,ROW()+(-3))&amp;"")</f>
        <v>Koop</v>
      </c>
      <c r="F14" s="21" t="n">
        <f aca="false">IF($A14="",0,N(INDEX('In gebruik'!$J:$J,ROW()+(-3))))</f>
        <v>2013</v>
      </c>
      <c r="G14" s="21" t="n">
        <f aca="false">IF($A14="",0,N(INDEX('In gebruik'!$K:$K,ROW()+(-3))))</f>
        <v>8</v>
      </c>
      <c r="H14" s="12" t="n">
        <f aca="false">IF(G14&gt;0,F14+G14-1,0)</f>
        <v>2020</v>
      </c>
      <c r="I14" s="12" t="n">
        <f aca="false">IF($A14="",0,IF(N(INDEX('In gebruik'!$W:$W,ROW()+(-3)))&gt;0,N(INDEX('In gebruik'!$W:$W,ROW()+(-3))),IF(G14&gt;0,MAX(F14+G14,p_Start),0)))</f>
        <v>2027</v>
      </c>
      <c r="J14" s="22" t="str">
        <f aca="false">IF($A14="","",IF(AND(G14&gt;0,F14+G14&lt;p_Start),"Over levensduur",IF(AND(I14&gt;0,I14&lt;=p_Start+3),"In begrotingsperiode","")))</f>
        <v>Over levensduur</v>
      </c>
      <c r="K14" s="23" t="n">
        <f aca="false">IF($E14="Lease-koop",p_Aanbet,0)</f>
        <v>0</v>
      </c>
      <c r="L14" s="23" t="n">
        <f aca="false">IF($E14="Lease-koop",p_Belet,0)</f>
        <v>0</v>
      </c>
      <c r="M14" s="23" t="n">
        <f aca="false">IF($E14="Lease-koop",p_Opbouw,0)</f>
        <v>0</v>
      </c>
      <c r="N14" s="23" t="n">
        <f aca="false">IF($E14="Lease-koop",p_Slot,0)</f>
        <v>0</v>
      </c>
      <c r="O14" s="12" t="n">
        <f aca="false">IF($E14="Lease-koop",I14+p_SlotJr,0)</f>
        <v>0</v>
      </c>
      <c r="P14" s="23" t="n">
        <f aca="false">IF($E14="Koop",N(INDEX('In gebruik'!$V:$V,ROW()+(-3))),0)</f>
        <v>65000</v>
      </c>
      <c r="Q14" s="23" t="n">
        <f aca="false">K14+L14+M14+N14+P14</f>
        <v>65000</v>
      </c>
      <c r="R14" s="12" t="n">
        <f aca="false">IF($E14="Lease-koop",p_AfschrLK,IF($E14="Koop",G14,0))</f>
        <v>8</v>
      </c>
      <c r="S14" s="23" t="n">
        <f aca="false">IF(R14&gt;0,Q14/R14,0)</f>
        <v>8125</v>
      </c>
      <c r="T14" s="12" t="n">
        <f aca="false">IF($E14="Lease-koop",O14+1,IF($E14="Koop",I14+1,0))</f>
        <v>2028</v>
      </c>
      <c r="U14" s="23" t="n">
        <f aca="false">IF($E14="Lease-koop",p_Lease,0)</f>
        <v>0</v>
      </c>
      <c r="V14" s="24" t="n">
        <f aca="false">IF($A14="",0,N(INDEX('In gebruik'!$R:$R,ROW()+(-3))))</f>
        <v>0</v>
      </c>
      <c r="W14" s="24" t="n">
        <f aca="false">IF($A14="",0,N(INDEX('In gebruik'!$S:$S,ROW()+(-3))))</f>
        <v>0</v>
      </c>
      <c r="X14" s="21" t="n">
        <f aca="false">IF(W14&gt;0,N(INDEX('In gebruik'!$T:$T,ROW()+(-3))),0)</f>
        <v>0</v>
      </c>
      <c r="Y14" s="24" t="n">
        <f aca="false">IF(W14&gt;0,IF(N(INDEX('In gebruik'!$P:$P,ROW()+(-3)))&gt;0,N(INDEX('In gebruik'!$P:$P,ROW()+(-3))),p_Lease),0)</f>
        <v>0</v>
      </c>
      <c r="AA14" s="23" t="n">
        <f aca="false">IF($Q14+$W14=0,0,IF(AA$7=$I14,$K14+$L14+$M14+$P14,0)+IF(AA$7=$O14,$N14,0)+IF(AA$7=$X14,$W14,0))</f>
        <v>65000</v>
      </c>
      <c r="AB14" s="23" t="n">
        <f aca="false">IF($Q14+$W14=0,0,IF(AB$7=$I14,$K14+$L14+$M14+$P14,0)+IF(AB$7=$O14,$N14,0)+IF(AB$7=$X14,$W14,0))</f>
        <v>0</v>
      </c>
      <c r="AC14" s="23" t="n">
        <f aca="false">IF($Q14+$W14=0,0,IF(AC$7=$I14,$K14+$L14+$M14+$P14,0)+IF(AC$7=$O14,$N14,0)+IF(AC$7=$X14,$W14,0))</f>
        <v>0</v>
      </c>
      <c r="AD14" s="23" t="n">
        <f aca="false">IF($Q14+$W14=0,0,IF(AD$7=$I14,$K14+$L14+$M14+$P14,0)+IF(AD$7=$O14,$N14,0)+IF(AD$7=$X14,$W14,0))</f>
        <v>0</v>
      </c>
      <c r="AE14" s="23" t="n">
        <f aca="false">IF($Q14+$W14=0,0,IF(AE$7=$I14,$K14+$L14+$M14+$P14,0)+IF(AE$7=$O14,$N14,0)+IF(AE$7=$X14,$W14,0))</f>
        <v>0</v>
      </c>
      <c r="AF14" s="23" t="n">
        <f aca="false">IF($Q14+$W14=0,0,IF(AF$7=$I14,$K14+$L14+$M14+$P14,0)+IF(AF$7=$O14,$N14,0)+IF(AF$7=$X14,$W14,0))</f>
        <v>0</v>
      </c>
      <c r="AG14" s="23" t="n">
        <f aca="false">IF($Q14+$W14=0,0,IF(AG$7=$I14,$K14+$L14+$M14+$P14,0)+IF(AG$7=$O14,$N14,0)+IF(AG$7=$X14,$W14,0))</f>
        <v>0</v>
      </c>
      <c r="AH14" s="23" t="n">
        <f aca="false">IF($Q14+$W14=0,0,IF(AH$7=$I14,$K14+$L14+$M14+$P14,0)+IF(AH$7=$O14,$N14,0)+IF(AH$7=$X14,$W14,0))</f>
        <v>0</v>
      </c>
      <c r="AJ14" s="23" t="n">
        <f aca="false">IF(AND($S14&gt;0,AJ$7&gt;=$T14,AJ$7&lt;$T14+$R14),$S14,0)+IF(AND($W14&gt;0,AJ$7&gt;$X14,AJ$7&lt;=$X14+p_AfschrLK),($V14+$W14)/p_AfschrLK,0)</f>
        <v>0</v>
      </c>
      <c r="AK14" s="23" t="n">
        <f aca="false">IF(AND($S14&gt;0,AK$7&gt;=$T14,AK$7&lt;$T14+$R14),$S14,0)+IF(AND($W14&gt;0,AK$7&gt;$X14,AK$7&lt;=$X14+p_AfschrLK),($V14+$W14)/p_AfschrLK,0)</f>
        <v>8125</v>
      </c>
      <c r="AL14" s="23" t="n">
        <f aca="false">IF(AND($S14&gt;0,AL$7&gt;=$T14,AL$7&lt;$T14+$R14),$S14,0)+IF(AND($W14&gt;0,AL$7&gt;$X14,AL$7&lt;=$X14+p_AfschrLK),($V14+$W14)/p_AfschrLK,0)</f>
        <v>8125</v>
      </c>
      <c r="AM14" s="23" t="n">
        <f aca="false">IF(AND($S14&gt;0,AM$7&gt;=$T14,AM$7&lt;$T14+$R14),$S14,0)+IF(AND($W14&gt;0,AM$7&gt;$X14,AM$7&lt;=$X14+p_AfschrLK),($V14+$W14)/p_AfschrLK,0)</f>
        <v>8125</v>
      </c>
      <c r="AN14" s="23" t="n">
        <f aca="false">IF(AND($S14&gt;0,AN$7&gt;=$T14,AN$7&lt;$T14+$R14),$S14,0)+IF(AND($W14&gt;0,AN$7&gt;$X14,AN$7&lt;=$X14+p_AfschrLK),($V14+$W14)/p_AfschrLK,0)</f>
        <v>8125</v>
      </c>
      <c r="AO14" s="23" t="n">
        <f aca="false">IF(AND($S14&gt;0,AO$7&gt;=$T14,AO$7&lt;$T14+$R14),$S14,0)+IF(AND($W14&gt;0,AO$7&gt;$X14,AO$7&lt;=$X14+p_AfschrLK),($V14+$W14)/p_AfschrLK,0)</f>
        <v>8125</v>
      </c>
      <c r="AP14" s="23" t="n">
        <f aca="false">IF(AND($S14&gt;0,AP$7&gt;=$T14,AP$7&lt;$T14+$R14),$S14,0)+IF(AND($W14&gt;0,AP$7&gt;$X14,AP$7&lt;=$X14+p_AfschrLK),($V14+$W14)/p_AfschrLK,0)</f>
        <v>8125</v>
      </c>
      <c r="AQ14" s="23" t="n">
        <f aca="false">IF(AND($S14&gt;0,AQ$7&gt;=$T14,AQ$7&lt;$T14+$R14),$S14,0)+IF(AND($W14&gt;0,AQ$7&gt;$X14,AQ$7&lt;=$X14+p_AfschrLK),($V14+$W14)/p_AfschrLK,0)</f>
        <v>8125</v>
      </c>
    </row>
    <row r="15" customFormat="false" ht="15" hidden="false" customHeight="false" outlineLevel="0" collapsed="false">
      <c r="A15" s="20" t="str">
        <f aca="false">IF(INDEX('In gebruik'!$A:$A,ROW()+(-3))="","",INDEX('In gebruik'!$A:$A,ROW()+(-3)))</f>
        <v>V08</v>
      </c>
      <c r="B15" s="20" t="str">
        <f aca="false">IF($A15="","",INDEX('In gebruik'!$B:$B,ROW()+(-3))&amp;"")</f>
        <v>V-72-NRS</v>
      </c>
      <c r="C15" s="20" t="str">
        <f aca="false">IF($A15="","",INDEX('In gebruik'!$H:$H,ROW()+(-3))&amp;"")</f>
        <v>personenauto</v>
      </c>
      <c r="D15" s="20" t="str">
        <f aca="false">IF($A15="","",INDEX('In gebruik'!$G:$G,ROW()+(-3))&amp;"")</f>
        <v>Stratenmakers</v>
      </c>
      <c r="E15" s="20" t="str">
        <f aca="false">IF($A15="","",INDEX('In gebruik'!$U:$U,ROW()+(-3))&amp;"")</f>
        <v>Lease-koop</v>
      </c>
      <c r="F15" s="21" t="n">
        <f aca="false">IF($A15="",0,N(INDEX('In gebruik'!$J:$J,ROW()+(-3))))</f>
        <v>2026</v>
      </c>
      <c r="G15" s="21" t="n">
        <f aca="false">IF($A15="",0,N(INDEX('In gebruik'!$K:$K,ROW()+(-3))))</f>
        <v>8</v>
      </c>
      <c r="H15" s="12" t="n">
        <f aca="false">IF(G15&gt;0,F15+G15-1,0)</f>
        <v>2033</v>
      </c>
      <c r="I15" s="12" t="n">
        <f aca="false">IF($A15="",0,IF(N(INDEX('In gebruik'!$W:$W,ROW()+(-3)))&gt;0,N(INDEX('In gebruik'!$W:$W,ROW()+(-3))),IF(G15&gt;0,MAX(F15+G15,p_Start),0)))</f>
        <v>2034</v>
      </c>
      <c r="J15" s="22" t="str">
        <f aca="false">IF($A15="","",IF(AND(G15&gt;0,F15+G15&lt;p_Start),"Over levensduur",IF(AND(I15&gt;0,I15&lt;=p_Start+3),"In begrotingsperiode","")))</f>
        <v/>
      </c>
      <c r="K15" s="23" t="n">
        <f aca="false">IF($E15="Lease-koop",p_Aanbet,0)</f>
        <v>10000</v>
      </c>
      <c r="L15" s="23" t="n">
        <f aca="false">IF($E15="Lease-koop",p_Belet,0)</f>
        <v>5000</v>
      </c>
      <c r="M15" s="23" t="n">
        <f aca="false">IF($E15="Lease-koop",p_Opbouw,0)</f>
        <v>7000</v>
      </c>
      <c r="N15" s="23" t="n">
        <f aca="false">IF($E15="Lease-koop",p_Slot,0)</f>
        <v>35000</v>
      </c>
      <c r="O15" s="12" t="n">
        <f aca="false">IF($E15="Lease-koop",I15+p_SlotJr,0)</f>
        <v>2036</v>
      </c>
      <c r="P15" s="23" t="n">
        <f aca="false">IF($E15="Koop",N(INDEX('In gebruik'!$V:$V,ROW()+(-3))),0)</f>
        <v>0</v>
      </c>
      <c r="Q15" s="23" t="n">
        <f aca="false">K15+L15+M15+N15+P15</f>
        <v>57000</v>
      </c>
      <c r="R15" s="12" t="n">
        <f aca="false">IF($E15="Lease-koop",p_AfschrLK,IF($E15="Koop",G15,0))</f>
        <v>6</v>
      </c>
      <c r="S15" s="23" t="n">
        <f aca="false">IF(R15&gt;0,Q15/R15,0)</f>
        <v>9500</v>
      </c>
      <c r="T15" s="12" t="n">
        <f aca="false">IF($E15="Lease-koop",O15+1,IF($E15="Koop",I15+1,0))</f>
        <v>2037</v>
      </c>
      <c r="U15" s="23" t="n">
        <f aca="false">IF($E15="Lease-koop",p_Lease,0)</f>
        <v>12000</v>
      </c>
      <c r="V15" s="24" t="n">
        <f aca="false">IF($A15="",0,N(INDEX('In gebruik'!$R:$R,ROW()+(-3))))</f>
        <v>11000</v>
      </c>
      <c r="W15" s="24" t="n">
        <f aca="false">IF($A15="",0,N(INDEX('In gebruik'!$S:$S,ROW()+(-3))))</f>
        <v>30000</v>
      </c>
      <c r="X15" s="21" t="n">
        <f aca="false">IF(W15&gt;0,N(INDEX('In gebruik'!$T:$T,ROW()+(-3))),0)</f>
        <v>2028</v>
      </c>
      <c r="Y15" s="24" t="n">
        <f aca="false">IF(W15&gt;0,IF(N(INDEX('In gebruik'!$P:$P,ROW()+(-3)))&gt;0,N(INDEX('In gebruik'!$P:$P,ROW()+(-3))),p_Lease),0)</f>
        <v>11786.52</v>
      </c>
      <c r="AA15" s="23" t="n">
        <f aca="false">IF($Q15+$W15=0,0,IF(AA$7=$I15,$K15+$L15+$M15+$P15,0)+IF(AA$7=$O15,$N15,0)+IF(AA$7=$X15,$W15,0))</f>
        <v>0</v>
      </c>
      <c r="AB15" s="23" t="n">
        <f aca="false">IF($Q15+$W15=0,0,IF(AB$7=$I15,$K15+$L15+$M15+$P15,0)+IF(AB$7=$O15,$N15,0)+IF(AB$7=$X15,$W15,0))</f>
        <v>30000</v>
      </c>
      <c r="AC15" s="23" t="n">
        <f aca="false">IF($Q15+$W15=0,0,IF(AC$7=$I15,$K15+$L15+$M15+$P15,0)+IF(AC$7=$O15,$N15,0)+IF(AC$7=$X15,$W15,0))</f>
        <v>0</v>
      </c>
      <c r="AD15" s="23" t="n">
        <f aca="false">IF($Q15+$W15=0,0,IF(AD$7=$I15,$K15+$L15+$M15+$P15,0)+IF(AD$7=$O15,$N15,0)+IF(AD$7=$X15,$W15,0))</f>
        <v>0</v>
      </c>
      <c r="AE15" s="23" t="n">
        <f aca="false">IF($Q15+$W15=0,0,IF(AE$7=$I15,$K15+$L15+$M15+$P15,0)+IF(AE$7=$O15,$N15,0)+IF(AE$7=$X15,$W15,0))</f>
        <v>0</v>
      </c>
      <c r="AF15" s="23" t="n">
        <f aca="false">IF($Q15+$W15=0,0,IF(AF$7=$I15,$K15+$L15+$M15+$P15,0)+IF(AF$7=$O15,$N15,0)+IF(AF$7=$X15,$W15,0))</f>
        <v>0</v>
      </c>
      <c r="AG15" s="23" t="n">
        <f aca="false">IF($Q15+$W15=0,0,IF(AG$7=$I15,$K15+$L15+$M15+$P15,0)+IF(AG$7=$O15,$N15,0)+IF(AG$7=$X15,$W15,0))</f>
        <v>0</v>
      </c>
      <c r="AH15" s="23" t="n">
        <f aca="false">IF($Q15+$W15=0,0,IF(AH$7=$I15,$K15+$L15+$M15+$P15,0)+IF(AH$7=$O15,$N15,0)+IF(AH$7=$X15,$W15,0))</f>
        <v>22000</v>
      </c>
      <c r="AJ15" s="23" t="n">
        <f aca="false">IF(AND($S15&gt;0,AJ$7&gt;=$T15,AJ$7&lt;$T15+$R15),$S15,0)+IF(AND($W15&gt;0,AJ$7&gt;$X15,AJ$7&lt;=$X15+p_AfschrLK),($V15+$W15)/p_AfschrLK,0)</f>
        <v>0</v>
      </c>
      <c r="AK15" s="23" t="n">
        <f aca="false">IF(AND($S15&gt;0,AK$7&gt;=$T15,AK$7&lt;$T15+$R15),$S15,0)+IF(AND($W15&gt;0,AK$7&gt;$X15,AK$7&lt;=$X15+p_AfschrLK),($V15+$W15)/p_AfschrLK,0)</f>
        <v>0</v>
      </c>
      <c r="AL15" s="23" t="n">
        <f aca="false">IF(AND($S15&gt;0,AL$7&gt;=$T15,AL$7&lt;$T15+$R15),$S15,0)+IF(AND($W15&gt;0,AL$7&gt;$X15,AL$7&lt;=$X15+p_AfschrLK),($V15+$W15)/p_AfschrLK,0)</f>
        <v>6833.33333333333</v>
      </c>
      <c r="AM15" s="23" t="n">
        <f aca="false">IF(AND($S15&gt;0,AM$7&gt;=$T15,AM$7&lt;$T15+$R15),$S15,0)+IF(AND($W15&gt;0,AM$7&gt;$X15,AM$7&lt;=$X15+p_AfschrLK),($V15+$W15)/p_AfschrLK,0)</f>
        <v>6833.33333333333</v>
      </c>
      <c r="AN15" s="23" t="n">
        <f aca="false">IF(AND($S15&gt;0,AN$7&gt;=$T15,AN$7&lt;$T15+$R15),$S15,0)+IF(AND($W15&gt;0,AN$7&gt;$X15,AN$7&lt;=$X15+p_AfschrLK),($V15+$W15)/p_AfschrLK,0)</f>
        <v>6833.33333333333</v>
      </c>
      <c r="AO15" s="23" t="n">
        <f aca="false">IF(AND($S15&gt;0,AO$7&gt;=$T15,AO$7&lt;$T15+$R15),$S15,0)+IF(AND($W15&gt;0,AO$7&gt;$X15,AO$7&lt;=$X15+p_AfschrLK),($V15+$W15)/p_AfschrLK,0)</f>
        <v>6833.33333333333</v>
      </c>
      <c r="AP15" s="23" t="n">
        <f aca="false">IF(AND($S15&gt;0,AP$7&gt;=$T15,AP$7&lt;$T15+$R15),$S15,0)+IF(AND($W15&gt;0,AP$7&gt;$X15,AP$7&lt;=$X15+p_AfschrLK),($V15+$W15)/p_AfschrLK,0)</f>
        <v>6833.33333333333</v>
      </c>
      <c r="AQ15" s="23" t="n">
        <f aca="false">IF(AND($S15&gt;0,AQ$7&gt;=$T15,AQ$7&lt;$T15+$R15),$S15,0)+IF(AND($W15&gt;0,AQ$7&gt;$X15,AQ$7&lt;=$X15+p_AfschrLK),($V15+$W15)/p_AfschrLK,0)</f>
        <v>6833.33333333333</v>
      </c>
    </row>
    <row r="16" customFormat="false" ht="15" hidden="false" customHeight="false" outlineLevel="0" collapsed="false">
      <c r="A16" s="20" t="str">
        <f aca="false">IF(INDEX('In gebruik'!$A:$A,ROW()+(-3))="","",INDEX('In gebruik'!$A:$A,ROW()+(-3)))</f>
        <v>V09</v>
      </c>
      <c r="B16" s="20" t="str">
        <f aca="false">IF($A16="","",INDEX('In gebruik'!$B:$B,ROW()+(-3))&amp;"")</f>
        <v>Z-684-FB</v>
      </c>
      <c r="C16" s="20" t="str">
        <f aca="false">IF($A16="","",INDEX('In gebruik'!$H:$H,ROW()+(-3))&amp;"")</f>
        <v>personenauto</v>
      </c>
      <c r="D16" s="20" t="str">
        <f aca="false">IF($A16="","",INDEX('In gebruik'!$G:$G,ROW()+(-3))&amp;"")</f>
        <v>Kantoor</v>
      </c>
      <c r="E16" s="20" t="str">
        <f aca="false">IF($A16="","",INDEX('In gebruik'!$U:$U,ROW()+(-3))&amp;"")</f>
        <v>Lease-koop</v>
      </c>
      <c r="F16" s="21" t="n">
        <f aca="false">IF($A16="",0,N(INDEX('In gebruik'!$J:$J,ROW()+(-3))))</f>
        <v>2024</v>
      </c>
      <c r="G16" s="21" t="n">
        <f aca="false">IF($A16="",0,N(INDEX('In gebruik'!$K:$K,ROW()+(-3))))</f>
        <v>8</v>
      </c>
      <c r="H16" s="12" t="n">
        <f aca="false">IF(G16&gt;0,F16+G16-1,0)</f>
        <v>2031</v>
      </c>
      <c r="I16" s="12" t="n">
        <f aca="false">IF($A16="",0,IF(N(INDEX('In gebruik'!$W:$W,ROW()+(-3)))&gt;0,N(INDEX('In gebruik'!$W:$W,ROW()+(-3))),IF(G16&gt;0,MAX(F16+G16,p_Start),0)))</f>
        <v>2032</v>
      </c>
      <c r="J16" s="22" t="str">
        <f aca="false">IF($A16="","",IF(AND(G16&gt;0,F16+G16&lt;p_Start),"Over levensduur",IF(AND(I16&gt;0,I16&lt;=p_Start+3),"In begrotingsperiode","")))</f>
        <v/>
      </c>
      <c r="K16" s="23" t="n">
        <f aca="false">IF($E16="Lease-koop",p_Aanbet,0)</f>
        <v>10000</v>
      </c>
      <c r="L16" s="23" t="n">
        <f aca="false">IF($E16="Lease-koop",p_Belet,0)</f>
        <v>5000</v>
      </c>
      <c r="M16" s="23" t="n">
        <f aca="false">IF($E16="Lease-koop",p_Opbouw,0)</f>
        <v>7000</v>
      </c>
      <c r="N16" s="23" t="n">
        <f aca="false">IF($E16="Lease-koop",p_Slot,0)</f>
        <v>35000</v>
      </c>
      <c r="O16" s="12" t="n">
        <f aca="false">IF($E16="Lease-koop",I16+p_SlotJr,0)</f>
        <v>2034</v>
      </c>
      <c r="P16" s="23" t="n">
        <f aca="false">IF($E16="Koop",N(INDEX('In gebruik'!$V:$V,ROW()+(-3))),0)</f>
        <v>0</v>
      </c>
      <c r="Q16" s="23" t="n">
        <f aca="false">K16+L16+M16+N16+P16</f>
        <v>57000</v>
      </c>
      <c r="R16" s="12" t="n">
        <f aca="false">IF($E16="Lease-koop",p_AfschrLK,IF($E16="Koop",G16,0))</f>
        <v>6</v>
      </c>
      <c r="S16" s="23" t="n">
        <f aca="false">IF(R16&gt;0,Q16/R16,0)</f>
        <v>9500</v>
      </c>
      <c r="T16" s="12" t="n">
        <f aca="false">IF($E16="Lease-koop",O16+1,IF($E16="Koop",I16+1,0))</f>
        <v>2035</v>
      </c>
      <c r="U16" s="23" t="n">
        <f aca="false">IF($E16="Lease-koop",p_Lease,0)</f>
        <v>12000</v>
      </c>
      <c r="V16" s="24" t="n">
        <f aca="false">IF($A16="",0,N(INDEX('In gebruik'!$R:$R,ROW()+(-3))))</f>
        <v>0</v>
      </c>
      <c r="W16" s="24" t="n">
        <f aca="false">IF($A16="",0,N(INDEX('In gebruik'!$S:$S,ROW()+(-3))))</f>
        <v>0</v>
      </c>
      <c r="X16" s="21" t="n">
        <f aca="false">IF(W16&gt;0,N(INDEX('In gebruik'!$T:$T,ROW()+(-3))),0)</f>
        <v>0</v>
      </c>
      <c r="Y16" s="24" t="n">
        <f aca="false">IF(W16&gt;0,IF(N(INDEX('In gebruik'!$P:$P,ROW()+(-3)))&gt;0,N(INDEX('In gebruik'!$P:$P,ROW()+(-3))),p_Lease),0)</f>
        <v>0</v>
      </c>
      <c r="AA16" s="23" t="n">
        <f aca="false">IF($Q16+$W16=0,0,IF(AA$7=$I16,$K16+$L16+$M16+$P16,0)+IF(AA$7=$O16,$N16,0)+IF(AA$7=$X16,$W16,0))</f>
        <v>0</v>
      </c>
      <c r="AB16" s="23" t="n">
        <f aca="false">IF($Q16+$W16=0,0,IF(AB$7=$I16,$K16+$L16+$M16+$P16,0)+IF(AB$7=$O16,$N16,0)+IF(AB$7=$X16,$W16,0))</f>
        <v>0</v>
      </c>
      <c r="AC16" s="23" t="n">
        <f aca="false">IF($Q16+$W16=0,0,IF(AC$7=$I16,$K16+$L16+$M16+$P16,0)+IF(AC$7=$O16,$N16,0)+IF(AC$7=$X16,$W16,0))</f>
        <v>0</v>
      </c>
      <c r="AD16" s="23" t="n">
        <f aca="false">IF($Q16+$W16=0,0,IF(AD$7=$I16,$K16+$L16+$M16+$P16,0)+IF(AD$7=$O16,$N16,0)+IF(AD$7=$X16,$W16,0))</f>
        <v>0</v>
      </c>
      <c r="AE16" s="23" t="n">
        <f aca="false">IF($Q16+$W16=0,0,IF(AE$7=$I16,$K16+$L16+$M16+$P16,0)+IF(AE$7=$O16,$N16,0)+IF(AE$7=$X16,$W16,0))</f>
        <v>0</v>
      </c>
      <c r="AF16" s="23" t="n">
        <f aca="false">IF($Q16+$W16=0,0,IF(AF$7=$I16,$K16+$L16+$M16+$P16,0)+IF(AF$7=$O16,$N16,0)+IF(AF$7=$X16,$W16,0))</f>
        <v>22000</v>
      </c>
      <c r="AG16" s="23" t="n">
        <f aca="false">IF($Q16+$W16=0,0,IF(AG$7=$I16,$K16+$L16+$M16+$P16,0)+IF(AG$7=$O16,$N16,0)+IF(AG$7=$X16,$W16,0))</f>
        <v>0</v>
      </c>
      <c r="AH16" s="23" t="n">
        <f aca="false">IF($Q16+$W16=0,0,IF(AH$7=$I16,$K16+$L16+$M16+$P16,0)+IF(AH$7=$O16,$N16,0)+IF(AH$7=$X16,$W16,0))</f>
        <v>35000</v>
      </c>
      <c r="AJ16" s="23" t="n">
        <f aca="false">IF(AND($S16&gt;0,AJ$7&gt;=$T16,AJ$7&lt;$T16+$R16),$S16,0)+IF(AND($W16&gt;0,AJ$7&gt;$X16,AJ$7&lt;=$X16+p_AfschrLK),($V16+$W16)/p_AfschrLK,0)</f>
        <v>0</v>
      </c>
      <c r="AK16" s="23" t="n">
        <f aca="false">IF(AND($S16&gt;0,AK$7&gt;=$T16,AK$7&lt;$T16+$R16),$S16,0)+IF(AND($W16&gt;0,AK$7&gt;$X16,AK$7&lt;=$X16+p_AfschrLK),($V16+$W16)/p_AfschrLK,0)</f>
        <v>0</v>
      </c>
      <c r="AL16" s="23" t="n">
        <f aca="false">IF(AND($S16&gt;0,AL$7&gt;=$T16,AL$7&lt;$T16+$R16),$S16,0)+IF(AND($W16&gt;0,AL$7&gt;$X16,AL$7&lt;=$X16+p_AfschrLK),($V16+$W16)/p_AfschrLK,0)</f>
        <v>0</v>
      </c>
      <c r="AM16" s="23" t="n">
        <f aca="false">IF(AND($S16&gt;0,AM$7&gt;=$T16,AM$7&lt;$T16+$R16),$S16,0)+IF(AND($W16&gt;0,AM$7&gt;$X16,AM$7&lt;=$X16+p_AfschrLK),($V16+$W16)/p_AfschrLK,0)</f>
        <v>0</v>
      </c>
      <c r="AN16" s="23" t="n">
        <f aca="false">IF(AND($S16&gt;0,AN$7&gt;=$T16,AN$7&lt;$T16+$R16),$S16,0)+IF(AND($W16&gt;0,AN$7&gt;$X16,AN$7&lt;=$X16+p_AfschrLK),($V16+$W16)/p_AfschrLK,0)</f>
        <v>0</v>
      </c>
      <c r="AO16" s="23" t="n">
        <f aca="false">IF(AND($S16&gt;0,AO$7&gt;=$T16,AO$7&lt;$T16+$R16),$S16,0)+IF(AND($W16&gt;0,AO$7&gt;$X16,AO$7&lt;=$X16+p_AfschrLK),($V16+$W16)/p_AfschrLK,0)</f>
        <v>0</v>
      </c>
      <c r="AP16" s="23" t="n">
        <f aca="false">IF(AND($S16&gt;0,AP$7&gt;=$T16,AP$7&lt;$T16+$R16),$S16,0)+IF(AND($W16&gt;0,AP$7&gt;$X16,AP$7&lt;=$X16+p_AfschrLK),($V16+$W16)/p_AfschrLK,0)</f>
        <v>0</v>
      </c>
      <c r="AQ16" s="23" t="n">
        <f aca="false">IF(AND($S16&gt;0,AQ$7&gt;=$T16,AQ$7&lt;$T16+$R16),$S16,0)+IF(AND($W16&gt;0,AQ$7&gt;$X16,AQ$7&lt;=$X16+p_AfschrLK),($V16+$W16)/p_AfschrLK,0)</f>
        <v>0</v>
      </c>
    </row>
    <row r="17" customFormat="false" ht="15" hidden="false" customHeight="false" outlineLevel="0" collapsed="false">
      <c r="A17" s="20" t="str">
        <f aca="false">IF(INDEX('In gebruik'!$A:$A,ROW()+(-3))="","",INDEX('In gebruik'!$A:$A,ROW()+(-3)))</f>
        <v>V10</v>
      </c>
      <c r="B17" s="20" t="str">
        <f aca="false">IF($A17="","",INDEX('In gebruik'!$B:$B,ROW()+(-3))&amp;"")</f>
        <v>V-96-LPT</v>
      </c>
      <c r="C17" s="20" t="str">
        <f aca="false">IF($A17="","",INDEX('In gebruik'!$H:$H,ROW()+(-3))&amp;"")</f>
        <v>bedrijfsauto</v>
      </c>
      <c r="D17" s="20" t="str">
        <f aca="false">IF($A17="","",INDEX('In gebruik'!$G:$G,ROW()+(-3))&amp;"")</f>
        <v>Storingsdienst</v>
      </c>
      <c r="E17" s="20" t="str">
        <f aca="false">IF($A17="","",INDEX('In gebruik'!$U:$U,ROW()+(-3))&amp;"")</f>
        <v>Lease-koop</v>
      </c>
      <c r="F17" s="21" t="n">
        <f aca="false">IF($A17="",0,N(INDEX('In gebruik'!$J:$J,ROW()+(-3))))</f>
        <v>2025</v>
      </c>
      <c r="G17" s="21" t="n">
        <f aca="false">IF($A17="",0,N(INDEX('In gebruik'!$K:$K,ROW()+(-3))))</f>
        <v>8</v>
      </c>
      <c r="H17" s="12" t="n">
        <f aca="false">IF(G17&gt;0,F17+G17-1,0)</f>
        <v>2032</v>
      </c>
      <c r="I17" s="12" t="n">
        <f aca="false">IF($A17="",0,IF(N(INDEX('In gebruik'!$W:$W,ROW()+(-3)))&gt;0,N(INDEX('In gebruik'!$W:$W,ROW()+(-3))),IF(G17&gt;0,MAX(F17+G17,p_Start),0)))</f>
        <v>2033</v>
      </c>
      <c r="J17" s="22" t="str">
        <f aca="false">IF($A17="","",IF(AND(G17&gt;0,F17+G17&lt;p_Start),"Over levensduur",IF(AND(I17&gt;0,I17&lt;=p_Start+3),"In begrotingsperiode","")))</f>
        <v/>
      </c>
      <c r="K17" s="23" t="n">
        <f aca="false">IF($E17="Lease-koop",p_Aanbet,0)</f>
        <v>10000</v>
      </c>
      <c r="L17" s="23" t="n">
        <f aca="false">IF($E17="Lease-koop",p_Belet,0)</f>
        <v>5000</v>
      </c>
      <c r="M17" s="23" t="n">
        <f aca="false">IF($E17="Lease-koop",p_Opbouw,0)</f>
        <v>7000</v>
      </c>
      <c r="N17" s="23" t="n">
        <f aca="false">IF($E17="Lease-koop",p_Slot,0)</f>
        <v>35000</v>
      </c>
      <c r="O17" s="12" t="n">
        <f aca="false">IF($E17="Lease-koop",I17+p_SlotJr,0)</f>
        <v>2035</v>
      </c>
      <c r="P17" s="23" t="n">
        <f aca="false">IF($E17="Koop",N(INDEX('In gebruik'!$V:$V,ROW()+(-3))),0)</f>
        <v>0</v>
      </c>
      <c r="Q17" s="23" t="n">
        <f aca="false">K17+L17+M17+N17+P17</f>
        <v>57000</v>
      </c>
      <c r="R17" s="12" t="n">
        <f aca="false">IF($E17="Lease-koop",p_AfschrLK,IF($E17="Koop",G17,0))</f>
        <v>6</v>
      </c>
      <c r="S17" s="23" t="n">
        <f aca="false">IF(R17&gt;0,Q17/R17,0)</f>
        <v>9500</v>
      </c>
      <c r="T17" s="12" t="n">
        <f aca="false">IF($E17="Lease-koop",O17+1,IF($E17="Koop",I17+1,0))</f>
        <v>2036</v>
      </c>
      <c r="U17" s="23" t="n">
        <f aca="false">IF($E17="Lease-koop",p_Lease,0)</f>
        <v>12000</v>
      </c>
      <c r="V17" s="24" t="n">
        <f aca="false">IF($A17="",0,N(INDEX('In gebruik'!$R:$R,ROW()+(-3))))</f>
        <v>0</v>
      </c>
      <c r="W17" s="24" t="n">
        <f aca="false">IF($A17="",0,N(INDEX('In gebruik'!$S:$S,ROW()+(-3))))</f>
        <v>0</v>
      </c>
      <c r="X17" s="21" t="n">
        <f aca="false">IF(W17&gt;0,N(INDEX('In gebruik'!$T:$T,ROW()+(-3))),0)</f>
        <v>0</v>
      </c>
      <c r="Y17" s="24" t="n">
        <f aca="false">IF(W17&gt;0,IF(N(INDEX('In gebruik'!$P:$P,ROW()+(-3)))&gt;0,N(INDEX('In gebruik'!$P:$P,ROW()+(-3))),p_Lease),0)</f>
        <v>0</v>
      </c>
      <c r="AA17" s="23" t="n">
        <f aca="false">IF($Q17+$W17=0,0,IF(AA$7=$I17,$K17+$L17+$M17+$P17,0)+IF(AA$7=$O17,$N17,0)+IF(AA$7=$X17,$W17,0))</f>
        <v>0</v>
      </c>
      <c r="AB17" s="23" t="n">
        <f aca="false">IF($Q17+$W17=0,0,IF(AB$7=$I17,$K17+$L17+$M17+$P17,0)+IF(AB$7=$O17,$N17,0)+IF(AB$7=$X17,$W17,0))</f>
        <v>0</v>
      </c>
      <c r="AC17" s="23" t="n">
        <f aca="false">IF($Q17+$W17=0,0,IF(AC$7=$I17,$K17+$L17+$M17+$P17,0)+IF(AC$7=$O17,$N17,0)+IF(AC$7=$X17,$W17,0))</f>
        <v>0</v>
      </c>
      <c r="AD17" s="23" t="n">
        <f aca="false">IF($Q17+$W17=0,0,IF(AD$7=$I17,$K17+$L17+$M17+$P17,0)+IF(AD$7=$O17,$N17,0)+IF(AD$7=$X17,$W17,0))</f>
        <v>0</v>
      </c>
      <c r="AE17" s="23" t="n">
        <f aca="false">IF($Q17+$W17=0,0,IF(AE$7=$I17,$K17+$L17+$M17+$P17,0)+IF(AE$7=$O17,$N17,0)+IF(AE$7=$X17,$W17,0))</f>
        <v>0</v>
      </c>
      <c r="AF17" s="23" t="n">
        <f aca="false">IF($Q17+$W17=0,0,IF(AF$7=$I17,$K17+$L17+$M17+$P17,0)+IF(AF$7=$O17,$N17,0)+IF(AF$7=$X17,$W17,0))</f>
        <v>0</v>
      </c>
      <c r="AG17" s="23" t="n">
        <f aca="false">IF($Q17+$W17=0,0,IF(AG$7=$I17,$K17+$L17+$M17+$P17,0)+IF(AG$7=$O17,$N17,0)+IF(AG$7=$X17,$W17,0))</f>
        <v>22000</v>
      </c>
      <c r="AH17" s="23" t="n">
        <f aca="false">IF($Q17+$W17=0,0,IF(AH$7=$I17,$K17+$L17+$M17+$P17,0)+IF(AH$7=$O17,$N17,0)+IF(AH$7=$X17,$W17,0))</f>
        <v>0</v>
      </c>
      <c r="AJ17" s="23" t="n">
        <f aca="false">IF(AND($S17&gt;0,AJ$7&gt;=$T17,AJ$7&lt;$T17+$R17),$S17,0)+IF(AND($W17&gt;0,AJ$7&gt;$X17,AJ$7&lt;=$X17+p_AfschrLK),($V17+$W17)/p_AfschrLK,0)</f>
        <v>0</v>
      </c>
      <c r="AK17" s="23" t="n">
        <f aca="false">IF(AND($S17&gt;0,AK$7&gt;=$T17,AK$7&lt;$T17+$R17),$S17,0)+IF(AND($W17&gt;0,AK$7&gt;$X17,AK$7&lt;=$X17+p_AfschrLK),($V17+$W17)/p_AfschrLK,0)</f>
        <v>0</v>
      </c>
      <c r="AL17" s="23" t="n">
        <f aca="false">IF(AND($S17&gt;0,AL$7&gt;=$T17,AL$7&lt;$T17+$R17),$S17,0)+IF(AND($W17&gt;0,AL$7&gt;$X17,AL$7&lt;=$X17+p_AfschrLK),($V17+$W17)/p_AfschrLK,0)</f>
        <v>0</v>
      </c>
      <c r="AM17" s="23" t="n">
        <f aca="false">IF(AND($S17&gt;0,AM$7&gt;=$T17,AM$7&lt;$T17+$R17),$S17,0)+IF(AND($W17&gt;0,AM$7&gt;$X17,AM$7&lt;=$X17+p_AfschrLK),($V17+$W17)/p_AfschrLK,0)</f>
        <v>0</v>
      </c>
      <c r="AN17" s="23" t="n">
        <f aca="false">IF(AND($S17&gt;0,AN$7&gt;=$T17,AN$7&lt;$T17+$R17),$S17,0)+IF(AND($W17&gt;0,AN$7&gt;$X17,AN$7&lt;=$X17+p_AfschrLK),($V17+$W17)/p_AfschrLK,0)</f>
        <v>0</v>
      </c>
      <c r="AO17" s="23" t="n">
        <f aca="false">IF(AND($S17&gt;0,AO$7&gt;=$T17,AO$7&lt;$T17+$R17),$S17,0)+IF(AND($W17&gt;0,AO$7&gt;$X17,AO$7&lt;=$X17+p_AfschrLK),($V17+$W17)/p_AfschrLK,0)</f>
        <v>0</v>
      </c>
      <c r="AP17" s="23" t="n">
        <f aca="false">IF(AND($S17&gt;0,AP$7&gt;=$T17,AP$7&lt;$T17+$R17),$S17,0)+IF(AND($W17&gt;0,AP$7&gt;$X17,AP$7&lt;=$X17+p_AfschrLK),($V17+$W17)/p_AfschrLK,0)</f>
        <v>0</v>
      </c>
      <c r="AQ17" s="23" t="n">
        <f aca="false">IF(AND($S17&gt;0,AQ$7&gt;=$T17,AQ$7&lt;$T17+$R17),$S17,0)+IF(AND($W17&gt;0,AQ$7&gt;$X17,AQ$7&lt;=$X17+p_AfschrLK),($V17+$W17)/p_AfschrLK,0)</f>
        <v>0</v>
      </c>
    </row>
    <row r="18" customFormat="false" ht="15" hidden="false" customHeight="false" outlineLevel="0" collapsed="false">
      <c r="A18" s="20" t="str">
        <f aca="false">IF(INDEX('In gebruik'!$A:$A,ROW()+(-3))="","",INDEX('In gebruik'!$A:$A,ROW()+(-3)))</f>
        <v>V11</v>
      </c>
      <c r="B18" s="20" t="str">
        <f aca="false">IF($A18="","",INDEX('In gebruik'!$B:$B,ROW()+(-3))&amp;"")</f>
        <v/>
      </c>
      <c r="C18" s="20" t="str">
        <f aca="false">IF($A18="","",INDEX('In gebruik'!$H:$H,ROW()+(-3))&amp;"")</f>
        <v>bedrijfsauto</v>
      </c>
      <c r="D18" s="20" t="str">
        <f aca="false">IF($A18="","",INDEX('In gebruik'!$G:$G,ROW()+(-3))&amp;"")</f>
        <v>Cultuur / Bossen</v>
      </c>
      <c r="E18" s="20" t="str">
        <f aca="false">IF($A18="","",INDEX('In gebruik'!$U:$U,ROW()+(-3))&amp;"")</f>
        <v>Lease-koop</v>
      </c>
      <c r="F18" s="21" t="n">
        <f aca="false">IF($A18="",0,N(INDEX('In gebruik'!$J:$J,ROW()+(-3))))</f>
        <v>2026</v>
      </c>
      <c r="G18" s="21" t="n">
        <f aca="false">IF($A18="",0,N(INDEX('In gebruik'!$K:$K,ROW()+(-3))))</f>
        <v>8</v>
      </c>
      <c r="H18" s="12" t="n">
        <f aca="false">IF(G18&gt;0,F18+G18-1,0)</f>
        <v>2033</v>
      </c>
      <c r="I18" s="12" t="n">
        <f aca="false">IF($A18="",0,IF(N(INDEX('In gebruik'!$W:$W,ROW()+(-3)))&gt;0,N(INDEX('In gebruik'!$W:$W,ROW()+(-3))),IF(G18&gt;0,MAX(F18+G18,p_Start),0)))</f>
        <v>2034</v>
      </c>
      <c r="J18" s="22" t="str">
        <f aca="false">IF($A18="","",IF(AND(G18&gt;0,F18+G18&lt;p_Start),"Over levensduur",IF(AND(I18&gt;0,I18&lt;=p_Start+3),"In begrotingsperiode","")))</f>
        <v/>
      </c>
      <c r="K18" s="23" t="n">
        <f aca="false">IF($E18="Lease-koop",p_Aanbet,0)</f>
        <v>10000</v>
      </c>
      <c r="L18" s="23" t="n">
        <f aca="false">IF($E18="Lease-koop",p_Belet,0)</f>
        <v>5000</v>
      </c>
      <c r="M18" s="23" t="n">
        <f aca="false">IF($E18="Lease-koop",p_Opbouw,0)</f>
        <v>7000</v>
      </c>
      <c r="N18" s="23" t="n">
        <f aca="false">IF($E18="Lease-koop",p_Slot,0)</f>
        <v>35000</v>
      </c>
      <c r="O18" s="12" t="n">
        <f aca="false">IF($E18="Lease-koop",I18+p_SlotJr,0)</f>
        <v>2036</v>
      </c>
      <c r="P18" s="23" t="n">
        <f aca="false">IF($E18="Koop",N(INDEX('In gebruik'!$V:$V,ROW()+(-3))),0)</f>
        <v>0</v>
      </c>
      <c r="Q18" s="23" t="n">
        <f aca="false">K18+L18+M18+N18+P18</f>
        <v>57000</v>
      </c>
      <c r="R18" s="12" t="n">
        <f aca="false">IF($E18="Lease-koop",p_AfschrLK,IF($E18="Koop",G18,0))</f>
        <v>6</v>
      </c>
      <c r="S18" s="23" t="n">
        <f aca="false">IF(R18&gt;0,Q18/R18,0)</f>
        <v>9500</v>
      </c>
      <c r="T18" s="12" t="n">
        <f aca="false">IF($E18="Lease-koop",O18+1,IF($E18="Koop",I18+1,0))</f>
        <v>2037</v>
      </c>
      <c r="U18" s="23" t="n">
        <f aca="false">IF($E18="Lease-koop",p_Lease,0)</f>
        <v>12000</v>
      </c>
      <c r="V18" s="24" t="n">
        <f aca="false">IF($A18="",0,N(INDEX('In gebruik'!$R:$R,ROW()+(-3))))</f>
        <v>11000</v>
      </c>
      <c r="W18" s="24" t="n">
        <f aca="false">IF($A18="",0,N(INDEX('In gebruik'!$S:$S,ROW()+(-3))))</f>
        <v>35500</v>
      </c>
      <c r="X18" s="21" t="n">
        <f aca="false">IF(W18&gt;0,N(INDEX('In gebruik'!$T:$T,ROW()+(-3))),0)</f>
        <v>2028</v>
      </c>
      <c r="Y18" s="24" t="n">
        <f aca="false">IF(W18&gt;0,IF(N(INDEX('In gebruik'!$P:$P,ROW()+(-3)))&gt;0,N(INDEX('In gebruik'!$P:$P,ROW()+(-3))),p_Lease),0)</f>
        <v>13448.5289256198</v>
      </c>
      <c r="AA18" s="23" t="n">
        <f aca="false">IF($Q18+$W18=0,0,IF(AA$7=$I18,$K18+$L18+$M18+$P18,0)+IF(AA$7=$O18,$N18,0)+IF(AA$7=$X18,$W18,0))</f>
        <v>0</v>
      </c>
      <c r="AB18" s="23" t="n">
        <f aca="false">IF($Q18+$W18=0,0,IF(AB$7=$I18,$K18+$L18+$M18+$P18,0)+IF(AB$7=$O18,$N18,0)+IF(AB$7=$X18,$W18,0))</f>
        <v>35500</v>
      </c>
      <c r="AC18" s="23" t="n">
        <f aca="false">IF($Q18+$W18=0,0,IF(AC$7=$I18,$K18+$L18+$M18+$P18,0)+IF(AC$7=$O18,$N18,0)+IF(AC$7=$X18,$W18,0))</f>
        <v>0</v>
      </c>
      <c r="AD18" s="23" t="n">
        <f aca="false">IF($Q18+$W18=0,0,IF(AD$7=$I18,$K18+$L18+$M18+$P18,0)+IF(AD$7=$O18,$N18,0)+IF(AD$7=$X18,$W18,0))</f>
        <v>0</v>
      </c>
      <c r="AE18" s="23" t="n">
        <f aca="false">IF($Q18+$W18=0,0,IF(AE$7=$I18,$K18+$L18+$M18+$P18,0)+IF(AE$7=$O18,$N18,0)+IF(AE$7=$X18,$W18,0))</f>
        <v>0</v>
      </c>
      <c r="AF18" s="23" t="n">
        <f aca="false">IF($Q18+$W18=0,0,IF(AF$7=$I18,$K18+$L18+$M18+$P18,0)+IF(AF$7=$O18,$N18,0)+IF(AF$7=$X18,$W18,0))</f>
        <v>0</v>
      </c>
      <c r="AG18" s="23" t="n">
        <f aca="false">IF($Q18+$W18=0,0,IF(AG$7=$I18,$K18+$L18+$M18+$P18,0)+IF(AG$7=$O18,$N18,0)+IF(AG$7=$X18,$W18,0))</f>
        <v>0</v>
      </c>
      <c r="AH18" s="23" t="n">
        <f aca="false">IF($Q18+$W18=0,0,IF(AH$7=$I18,$K18+$L18+$M18+$P18,0)+IF(AH$7=$O18,$N18,0)+IF(AH$7=$X18,$W18,0))</f>
        <v>22000</v>
      </c>
      <c r="AJ18" s="23" t="n">
        <f aca="false">IF(AND($S18&gt;0,AJ$7&gt;=$T18,AJ$7&lt;$T18+$R18),$S18,0)+IF(AND($W18&gt;0,AJ$7&gt;$X18,AJ$7&lt;=$X18+p_AfschrLK),($V18+$W18)/p_AfschrLK,0)</f>
        <v>0</v>
      </c>
      <c r="AK18" s="23" t="n">
        <f aca="false">IF(AND($S18&gt;0,AK$7&gt;=$T18,AK$7&lt;$T18+$R18),$S18,0)+IF(AND($W18&gt;0,AK$7&gt;$X18,AK$7&lt;=$X18+p_AfschrLK),($V18+$W18)/p_AfschrLK,0)</f>
        <v>0</v>
      </c>
      <c r="AL18" s="23" t="n">
        <f aca="false">IF(AND($S18&gt;0,AL$7&gt;=$T18,AL$7&lt;$T18+$R18),$S18,0)+IF(AND($W18&gt;0,AL$7&gt;$X18,AL$7&lt;=$X18+p_AfschrLK),($V18+$W18)/p_AfschrLK,0)</f>
        <v>7750</v>
      </c>
      <c r="AM18" s="23" t="n">
        <f aca="false">IF(AND($S18&gt;0,AM$7&gt;=$T18,AM$7&lt;$T18+$R18),$S18,0)+IF(AND($W18&gt;0,AM$7&gt;$X18,AM$7&lt;=$X18+p_AfschrLK),($V18+$W18)/p_AfschrLK,0)</f>
        <v>7750</v>
      </c>
      <c r="AN18" s="23" t="n">
        <f aca="false">IF(AND($S18&gt;0,AN$7&gt;=$T18,AN$7&lt;$T18+$R18),$S18,0)+IF(AND($W18&gt;0,AN$7&gt;$X18,AN$7&lt;=$X18+p_AfschrLK),($V18+$W18)/p_AfschrLK,0)</f>
        <v>7750</v>
      </c>
      <c r="AO18" s="23" t="n">
        <f aca="false">IF(AND($S18&gt;0,AO$7&gt;=$T18,AO$7&lt;$T18+$R18),$S18,0)+IF(AND($W18&gt;0,AO$7&gt;$X18,AO$7&lt;=$X18+p_AfschrLK),($V18+$W18)/p_AfschrLK,0)</f>
        <v>7750</v>
      </c>
      <c r="AP18" s="23" t="n">
        <f aca="false">IF(AND($S18&gt;0,AP$7&gt;=$T18,AP$7&lt;$T18+$R18),$S18,0)+IF(AND($W18&gt;0,AP$7&gt;$X18,AP$7&lt;=$X18+p_AfschrLK),($V18+$W18)/p_AfschrLK,0)</f>
        <v>7750</v>
      </c>
      <c r="AQ18" s="23" t="n">
        <f aca="false">IF(AND($S18&gt;0,AQ$7&gt;=$T18,AQ$7&lt;$T18+$R18),$S18,0)+IF(AND($W18&gt;0,AQ$7&gt;$X18,AQ$7&lt;=$X18+p_AfschrLK),($V18+$W18)/p_AfschrLK,0)</f>
        <v>7750</v>
      </c>
    </row>
    <row r="19" customFormat="false" ht="15" hidden="false" customHeight="false" outlineLevel="0" collapsed="false">
      <c r="A19" s="20" t="str">
        <f aca="false">IF(INDEX('In gebruik'!$A:$A,ROW()+(-3))="","",INDEX('In gebruik'!$A:$A,ROW()+(-3)))</f>
        <v>V12</v>
      </c>
      <c r="B19" s="20" t="str">
        <f aca="false">IF($A19="","",INDEX('In gebruik'!$B:$B,ROW()+(-3))&amp;"")</f>
        <v>V-05-JGK</v>
      </c>
      <c r="C19" s="20" t="str">
        <f aca="false">IF($A19="","",INDEX('In gebruik'!$H:$H,ROW()+(-3))&amp;"")</f>
        <v>bedrijfsauto</v>
      </c>
      <c r="D19" s="20" t="str">
        <f aca="false">IF($A19="","",INDEX('In gebruik'!$G:$G,ROW()+(-3))&amp;"")</f>
        <v>Groen</v>
      </c>
      <c r="E19" s="20" t="str">
        <f aca="false">IF($A19="","",INDEX('In gebruik'!$U:$U,ROW()+(-3))&amp;"")</f>
        <v>Lease-koop</v>
      </c>
      <c r="F19" s="21" t="n">
        <f aca="false">IF($A19="",0,N(INDEX('In gebruik'!$J:$J,ROW()+(-3))))</f>
        <v>2024</v>
      </c>
      <c r="G19" s="21" t="n">
        <f aca="false">IF($A19="",0,N(INDEX('In gebruik'!$K:$K,ROW()+(-3))))</f>
        <v>8</v>
      </c>
      <c r="H19" s="12" t="n">
        <f aca="false">IF(G19&gt;0,F19+G19-1,0)</f>
        <v>2031</v>
      </c>
      <c r="I19" s="12" t="n">
        <f aca="false">IF($A19="",0,IF(N(INDEX('In gebruik'!$W:$W,ROW()+(-3)))&gt;0,N(INDEX('In gebruik'!$W:$W,ROW()+(-3))),IF(G19&gt;0,MAX(F19+G19,p_Start),0)))</f>
        <v>2032</v>
      </c>
      <c r="J19" s="22" t="str">
        <f aca="false">IF($A19="","",IF(AND(G19&gt;0,F19+G19&lt;p_Start),"Over levensduur",IF(AND(I19&gt;0,I19&lt;=p_Start+3),"In begrotingsperiode","")))</f>
        <v/>
      </c>
      <c r="K19" s="23" t="n">
        <f aca="false">IF($E19="Lease-koop",p_Aanbet,0)</f>
        <v>10000</v>
      </c>
      <c r="L19" s="23" t="n">
        <f aca="false">IF($E19="Lease-koop",p_Belet,0)</f>
        <v>5000</v>
      </c>
      <c r="M19" s="23" t="n">
        <f aca="false">IF($E19="Lease-koop",p_Opbouw,0)</f>
        <v>7000</v>
      </c>
      <c r="N19" s="23" t="n">
        <f aca="false">IF($E19="Lease-koop",p_Slot,0)</f>
        <v>35000</v>
      </c>
      <c r="O19" s="12" t="n">
        <f aca="false">IF($E19="Lease-koop",I19+p_SlotJr,0)</f>
        <v>2034</v>
      </c>
      <c r="P19" s="23" t="n">
        <f aca="false">IF($E19="Koop",N(INDEX('In gebruik'!$V:$V,ROW()+(-3))),0)</f>
        <v>0</v>
      </c>
      <c r="Q19" s="23" t="n">
        <f aca="false">K19+L19+M19+N19+P19</f>
        <v>57000</v>
      </c>
      <c r="R19" s="12" t="n">
        <f aca="false">IF($E19="Lease-koop",p_AfschrLK,IF($E19="Koop",G19,0))</f>
        <v>6</v>
      </c>
      <c r="S19" s="23" t="n">
        <f aca="false">IF(R19&gt;0,Q19/R19,0)</f>
        <v>9500</v>
      </c>
      <c r="T19" s="12" t="n">
        <f aca="false">IF($E19="Lease-koop",O19+1,IF($E19="Koop",I19+1,0))</f>
        <v>2035</v>
      </c>
      <c r="U19" s="23" t="n">
        <f aca="false">IF($E19="Lease-koop",p_Lease,0)</f>
        <v>12000</v>
      </c>
      <c r="V19" s="24" t="n">
        <f aca="false">IF($A19="",0,N(INDEX('In gebruik'!$R:$R,ROW()+(-3))))</f>
        <v>0</v>
      </c>
      <c r="W19" s="24" t="n">
        <f aca="false">IF($A19="",0,N(INDEX('In gebruik'!$S:$S,ROW()+(-3))))</f>
        <v>0</v>
      </c>
      <c r="X19" s="21" t="n">
        <f aca="false">IF(W19&gt;0,N(INDEX('In gebruik'!$T:$T,ROW()+(-3))),0)</f>
        <v>0</v>
      </c>
      <c r="Y19" s="24" t="n">
        <f aca="false">IF(W19&gt;0,IF(N(INDEX('In gebruik'!$P:$P,ROW()+(-3)))&gt;0,N(INDEX('In gebruik'!$P:$P,ROW()+(-3))),p_Lease),0)</f>
        <v>0</v>
      </c>
      <c r="AA19" s="23" t="n">
        <f aca="false">IF($Q19+$W19=0,0,IF(AA$7=$I19,$K19+$L19+$M19+$P19,0)+IF(AA$7=$O19,$N19,0)+IF(AA$7=$X19,$W19,0))</f>
        <v>0</v>
      </c>
      <c r="AB19" s="23" t="n">
        <f aca="false">IF($Q19+$W19=0,0,IF(AB$7=$I19,$K19+$L19+$M19+$P19,0)+IF(AB$7=$O19,$N19,0)+IF(AB$7=$X19,$W19,0))</f>
        <v>0</v>
      </c>
      <c r="AC19" s="23" t="n">
        <f aca="false">IF($Q19+$W19=0,0,IF(AC$7=$I19,$K19+$L19+$M19+$P19,0)+IF(AC$7=$O19,$N19,0)+IF(AC$7=$X19,$W19,0))</f>
        <v>0</v>
      </c>
      <c r="AD19" s="23" t="n">
        <f aca="false">IF($Q19+$W19=0,0,IF(AD$7=$I19,$K19+$L19+$M19+$P19,0)+IF(AD$7=$O19,$N19,0)+IF(AD$7=$X19,$W19,0))</f>
        <v>0</v>
      </c>
      <c r="AE19" s="23" t="n">
        <f aca="false">IF($Q19+$W19=0,0,IF(AE$7=$I19,$K19+$L19+$M19+$P19,0)+IF(AE$7=$O19,$N19,0)+IF(AE$7=$X19,$W19,0))</f>
        <v>0</v>
      </c>
      <c r="AF19" s="23" t="n">
        <f aca="false">IF($Q19+$W19=0,0,IF(AF$7=$I19,$K19+$L19+$M19+$P19,0)+IF(AF$7=$O19,$N19,0)+IF(AF$7=$X19,$W19,0))</f>
        <v>22000</v>
      </c>
      <c r="AG19" s="23" t="n">
        <f aca="false">IF($Q19+$W19=0,0,IF(AG$7=$I19,$K19+$L19+$M19+$P19,0)+IF(AG$7=$O19,$N19,0)+IF(AG$7=$X19,$W19,0))</f>
        <v>0</v>
      </c>
      <c r="AH19" s="23" t="n">
        <f aca="false">IF($Q19+$W19=0,0,IF(AH$7=$I19,$K19+$L19+$M19+$P19,0)+IF(AH$7=$O19,$N19,0)+IF(AH$7=$X19,$W19,0))</f>
        <v>35000</v>
      </c>
      <c r="AJ19" s="23" t="n">
        <f aca="false">IF(AND($S19&gt;0,AJ$7&gt;=$T19,AJ$7&lt;$T19+$R19),$S19,0)+IF(AND($W19&gt;0,AJ$7&gt;$X19,AJ$7&lt;=$X19+p_AfschrLK),($V19+$W19)/p_AfschrLK,0)</f>
        <v>0</v>
      </c>
      <c r="AK19" s="23" t="n">
        <f aca="false">IF(AND($S19&gt;0,AK$7&gt;=$T19,AK$7&lt;$T19+$R19),$S19,0)+IF(AND($W19&gt;0,AK$7&gt;$X19,AK$7&lt;=$X19+p_AfschrLK),($V19+$W19)/p_AfschrLK,0)</f>
        <v>0</v>
      </c>
      <c r="AL19" s="23" t="n">
        <f aca="false">IF(AND($S19&gt;0,AL$7&gt;=$T19,AL$7&lt;$T19+$R19),$S19,0)+IF(AND($W19&gt;0,AL$7&gt;$X19,AL$7&lt;=$X19+p_AfschrLK),($V19+$W19)/p_AfschrLK,0)</f>
        <v>0</v>
      </c>
      <c r="AM19" s="23" t="n">
        <f aca="false">IF(AND($S19&gt;0,AM$7&gt;=$T19,AM$7&lt;$T19+$R19),$S19,0)+IF(AND($W19&gt;0,AM$7&gt;$X19,AM$7&lt;=$X19+p_AfschrLK),($V19+$W19)/p_AfschrLK,0)</f>
        <v>0</v>
      </c>
      <c r="AN19" s="23" t="n">
        <f aca="false">IF(AND($S19&gt;0,AN$7&gt;=$T19,AN$7&lt;$T19+$R19),$S19,0)+IF(AND($W19&gt;0,AN$7&gt;$X19,AN$7&lt;=$X19+p_AfschrLK),($V19+$W19)/p_AfschrLK,0)</f>
        <v>0</v>
      </c>
      <c r="AO19" s="23" t="n">
        <f aca="false">IF(AND($S19&gt;0,AO$7&gt;=$T19,AO$7&lt;$T19+$R19),$S19,0)+IF(AND($W19&gt;0,AO$7&gt;$X19,AO$7&lt;=$X19+p_AfschrLK),($V19+$W19)/p_AfschrLK,0)</f>
        <v>0</v>
      </c>
      <c r="AP19" s="23" t="n">
        <f aca="false">IF(AND($S19&gt;0,AP$7&gt;=$T19,AP$7&lt;$T19+$R19),$S19,0)+IF(AND($W19&gt;0,AP$7&gt;$X19,AP$7&lt;=$X19+p_AfschrLK),($V19+$W19)/p_AfschrLK,0)</f>
        <v>0</v>
      </c>
      <c r="AQ19" s="23" t="n">
        <f aca="false">IF(AND($S19&gt;0,AQ$7&gt;=$T19,AQ$7&lt;$T19+$R19),$S19,0)+IF(AND($W19&gt;0,AQ$7&gt;$X19,AQ$7&lt;=$X19+p_AfschrLK),($V19+$W19)/p_AfschrLK,0)</f>
        <v>0</v>
      </c>
    </row>
    <row r="20" customFormat="false" ht="15" hidden="false" customHeight="false" outlineLevel="0" collapsed="false">
      <c r="A20" s="20" t="str">
        <f aca="false">IF(INDEX('In gebruik'!$A:$A,ROW()+(-3))="","",INDEX('In gebruik'!$A:$A,ROW()+(-3)))</f>
        <v>V13</v>
      </c>
      <c r="B20" s="20" t="str">
        <f aca="false">IF($A20="","",INDEX('In gebruik'!$B:$B,ROW()+(-3))&amp;"")</f>
        <v>V-708-FT</v>
      </c>
      <c r="C20" s="20" t="str">
        <f aca="false">IF($A20="","",INDEX('In gebruik'!$H:$H,ROW()+(-3))&amp;"")</f>
        <v>bedrijfsauto</v>
      </c>
      <c r="D20" s="20" t="str">
        <f aca="false">IF($A20="","",INDEX('In gebruik'!$G:$G,ROW()+(-3))&amp;"")</f>
        <v>Algemene dienst</v>
      </c>
      <c r="E20" s="20" t="str">
        <f aca="false">IF($A20="","",INDEX('In gebruik'!$U:$U,ROW()+(-3))&amp;"")</f>
        <v>Koop</v>
      </c>
      <c r="F20" s="21" t="n">
        <f aca="false">IF($A20="",0,N(INDEX('In gebruik'!$J:$J,ROW()+(-3))))</f>
        <v>2017</v>
      </c>
      <c r="G20" s="21" t="n">
        <f aca="false">IF($A20="",0,N(INDEX('In gebruik'!$K:$K,ROW()+(-3))))</f>
        <v>8</v>
      </c>
      <c r="H20" s="12" t="n">
        <f aca="false">IF(G20&gt;0,F20+G20-1,0)</f>
        <v>2024</v>
      </c>
      <c r="I20" s="12" t="n">
        <f aca="false">IF($A20="",0,IF(N(INDEX('In gebruik'!$W:$W,ROW()+(-3)))&gt;0,N(INDEX('In gebruik'!$W:$W,ROW()+(-3))),IF(G20&gt;0,MAX(F20+G20,p_Start),0)))</f>
        <v>2027</v>
      </c>
      <c r="J20" s="22" t="str">
        <f aca="false">IF($A20="","",IF(AND(G20&gt;0,F20+G20&lt;p_Start),"Over levensduur",IF(AND(I20&gt;0,I20&lt;=p_Start+3),"In begrotingsperiode","")))</f>
        <v>Over levensduur</v>
      </c>
      <c r="K20" s="23" t="n">
        <f aca="false">IF($E20="Lease-koop",p_Aanbet,0)</f>
        <v>0</v>
      </c>
      <c r="L20" s="23" t="n">
        <f aca="false">IF($E20="Lease-koop",p_Belet,0)</f>
        <v>0</v>
      </c>
      <c r="M20" s="23" t="n">
        <f aca="false">IF($E20="Lease-koop",p_Opbouw,0)</f>
        <v>0</v>
      </c>
      <c r="N20" s="23" t="n">
        <f aca="false">IF($E20="Lease-koop",p_Slot,0)</f>
        <v>0</v>
      </c>
      <c r="O20" s="12" t="n">
        <f aca="false">IF($E20="Lease-koop",I20+p_SlotJr,0)</f>
        <v>0</v>
      </c>
      <c r="P20" s="23" t="n">
        <f aca="false">IF($E20="Koop",N(INDEX('In gebruik'!$V:$V,ROW()+(-3))),0)</f>
        <v>65000</v>
      </c>
      <c r="Q20" s="23" t="n">
        <f aca="false">K20+L20+M20+N20+P20</f>
        <v>65000</v>
      </c>
      <c r="R20" s="12" t="n">
        <f aca="false">IF($E20="Lease-koop",p_AfschrLK,IF($E20="Koop",G20,0))</f>
        <v>8</v>
      </c>
      <c r="S20" s="23" t="n">
        <f aca="false">IF(R20&gt;0,Q20/R20,0)</f>
        <v>8125</v>
      </c>
      <c r="T20" s="12" t="n">
        <f aca="false">IF($E20="Lease-koop",O20+1,IF($E20="Koop",I20+1,0))</f>
        <v>2028</v>
      </c>
      <c r="U20" s="23" t="n">
        <f aca="false">IF($E20="Lease-koop",p_Lease,0)</f>
        <v>0</v>
      </c>
      <c r="V20" s="24" t="n">
        <f aca="false">IF($A20="",0,N(INDEX('In gebruik'!$R:$R,ROW()+(-3))))</f>
        <v>0</v>
      </c>
      <c r="W20" s="24" t="n">
        <f aca="false">IF($A20="",0,N(INDEX('In gebruik'!$S:$S,ROW()+(-3))))</f>
        <v>0</v>
      </c>
      <c r="X20" s="21" t="n">
        <f aca="false">IF(W20&gt;0,N(INDEX('In gebruik'!$T:$T,ROW()+(-3))),0)</f>
        <v>0</v>
      </c>
      <c r="Y20" s="24" t="n">
        <f aca="false">IF(W20&gt;0,IF(N(INDEX('In gebruik'!$P:$P,ROW()+(-3)))&gt;0,N(INDEX('In gebruik'!$P:$P,ROW()+(-3))),p_Lease),0)</f>
        <v>0</v>
      </c>
      <c r="AA20" s="23" t="n">
        <f aca="false">IF($Q20+$W20=0,0,IF(AA$7=$I20,$K20+$L20+$M20+$P20,0)+IF(AA$7=$O20,$N20,0)+IF(AA$7=$X20,$W20,0))</f>
        <v>65000</v>
      </c>
      <c r="AB20" s="23" t="n">
        <f aca="false">IF($Q20+$W20=0,0,IF(AB$7=$I20,$K20+$L20+$M20+$P20,0)+IF(AB$7=$O20,$N20,0)+IF(AB$7=$X20,$W20,0))</f>
        <v>0</v>
      </c>
      <c r="AC20" s="23" t="n">
        <f aca="false">IF($Q20+$W20=0,0,IF(AC$7=$I20,$K20+$L20+$M20+$P20,0)+IF(AC$7=$O20,$N20,0)+IF(AC$7=$X20,$W20,0))</f>
        <v>0</v>
      </c>
      <c r="AD20" s="23" t="n">
        <f aca="false">IF($Q20+$W20=0,0,IF(AD$7=$I20,$K20+$L20+$M20+$P20,0)+IF(AD$7=$O20,$N20,0)+IF(AD$7=$X20,$W20,0))</f>
        <v>0</v>
      </c>
      <c r="AE20" s="23" t="n">
        <f aca="false">IF($Q20+$W20=0,0,IF(AE$7=$I20,$K20+$L20+$M20+$P20,0)+IF(AE$7=$O20,$N20,0)+IF(AE$7=$X20,$W20,0))</f>
        <v>0</v>
      </c>
      <c r="AF20" s="23" t="n">
        <f aca="false">IF($Q20+$W20=0,0,IF(AF$7=$I20,$K20+$L20+$M20+$P20,0)+IF(AF$7=$O20,$N20,0)+IF(AF$7=$X20,$W20,0))</f>
        <v>0</v>
      </c>
      <c r="AG20" s="23" t="n">
        <f aca="false">IF($Q20+$W20=0,0,IF(AG$7=$I20,$K20+$L20+$M20+$P20,0)+IF(AG$7=$O20,$N20,0)+IF(AG$7=$X20,$W20,0))</f>
        <v>0</v>
      </c>
      <c r="AH20" s="23" t="n">
        <f aca="false">IF($Q20+$W20=0,0,IF(AH$7=$I20,$K20+$L20+$M20+$P20,0)+IF(AH$7=$O20,$N20,0)+IF(AH$7=$X20,$W20,0))</f>
        <v>0</v>
      </c>
      <c r="AJ20" s="23" t="n">
        <f aca="false">IF(AND($S20&gt;0,AJ$7&gt;=$T20,AJ$7&lt;$T20+$R20),$S20,0)+IF(AND($W20&gt;0,AJ$7&gt;$X20,AJ$7&lt;=$X20+p_AfschrLK),($V20+$W20)/p_AfschrLK,0)</f>
        <v>0</v>
      </c>
      <c r="AK20" s="23" t="n">
        <f aca="false">IF(AND($S20&gt;0,AK$7&gt;=$T20,AK$7&lt;$T20+$R20),$S20,0)+IF(AND($W20&gt;0,AK$7&gt;$X20,AK$7&lt;=$X20+p_AfschrLK),($V20+$W20)/p_AfschrLK,0)</f>
        <v>8125</v>
      </c>
      <c r="AL20" s="23" t="n">
        <f aca="false">IF(AND($S20&gt;0,AL$7&gt;=$T20,AL$7&lt;$T20+$R20),$S20,0)+IF(AND($W20&gt;0,AL$7&gt;$X20,AL$7&lt;=$X20+p_AfschrLK),($V20+$W20)/p_AfschrLK,0)</f>
        <v>8125</v>
      </c>
      <c r="AM20" s="23" t="n">
        <f aca="false">IF(AND($S20&gt;0,AM$7&gt;=$T20,AM$7&lt;$T20+$R20),$S20,0)+IF(AND($W20&gt;0,AM$7&gt;$X20,AM$7&lt;=$X20+p_AfschrLK),($V20+$W20)/p_AfschrLK,0)</f>
        <v>8125</v>
      </c>
      <c r="AN20" s="23" t="n">
        <f aca="false">IF(AND($S20&gt;0,AN$7&gt;=$T20,AN$7&lt;$T20+$R20),$S20,0)+IF(AND($W20&gt;0,AN$7&gt;$X20,AN$7&lt;=$X20+p_AfschrLK),($V20+$W20)/p_AfschrLK,0)</f>
        <v>8125</v>
      </c>
      <c r="AO20" s="23" t="n">
        <f aca="false">IF(AND($S20&gt;0,AO$7&gt;=$T20,AO$7&lt;$T20+$R20),$S20,0)+IF(AND($W20&gt;0,AO$7&gt;$X20,AO$7&lt;=$X20+p_AfschrLK),($V20+$W20)/p_AfschrLK,0)</f>
        <v>8125</v>
      </c>
      <c r="AP20" s="23" t="n">
        <f aca="false">IF(AND($S20&gt;0,AP$7&gt;=$T20,AP$7&lt;$T20+$R20),$S20,0)+IF(AND($W20&gt;0,AP$7&gt;$X20,AP$7&lt;=$X20+p_AfschrLK),($V20+$W20)/p_AfschrLK,0)</f>
        <v>8125</v>
      </c>
      <c r="AQ20" s="23" t="n">
        <f aca="false">IF(AND($S20&gt;0,AQ$7&gt;=$T20,AQ$7&lt;$T20+$R20),$S20,0)+IF(AND($W20&gt;0,AQ$7&gt;$X20,AQ$7&lt;=$X20+p_AfschrLK),($V20+$W20)/p_AfschrLK,0)</f>
        <v>8125</v>
      </c>
    </row>
    <row r="21" customFormat="false" ht="15" hidden="false" customHeight="false" outlineLevel="0" collapsed="false">
      <c r="A21" s="20" t="str">
        <f aca="false">IF(INDEX('In gebruik'!$A:$A,ROW()+(-3))="","",INDEX('In gebruik'!$A:$A,ROW()+(-3)))</f>
        <v>V14</v>
      </c>
      <c r="B21" s="20" t="str">
        <f aca="false">IF($A21="","",INDEX('In gebruik'!$B:$B,ROW()+(-3))&amp;"")</f>
        <v>V-603-LV</v>
      </c>
      <c r="C21" s="20" t="str">
        <f aca="false">IF($A21="","",INDEX('In gebruik'!$H:$H,ROW()+(-3))&amp;"")</f>
        <v>bedrijfsauto</v>
      </c>
      <c r="D21" s="20" t="str">
        <f aca="false">IF($A21="","",INDEX('In gebruik'!$G:$G,ROW()+(-3))&amp;"")</f>
        <v>Speelt/groen</v>
      </c>
      <c r="E21" s="20" t="str">
        <f aca="false">IF($A21="","",INDEX('In gebruik'!$U:$U,ROW()+(-3))&amp;"")</f>
        <v>Lease-koop</v>
      </c>
      <c r="F21" s="21" t="n">
        <f aca="false">IF($A21="",0,N(INDEX('In gebruik'!$J:$J,ROW()+(-3))))</f>
        <v>2018</v>
      </c>
      <c r="G21" s="21" t="n">
        <f aca="false">IF($A21="",0,N(INDEX('In gebruik'!$K:$K,ROW()+(-3))))</f>
        <v>8</v>
      </c>
      <c r="H21" s="12" t="n">
        <f aca="false">IF(G21&gt;0,F21+G21-1,0)</f>
        <v>2025</v>
      </c>
      <c r="I21" s="12" t="n">
        <f aca="false">IF($A21="",0,IF(N(INDEX('In gebruik'!$W:$W,ROW()+(-3)))&gt;0,N(INDEX('In gebruik'!$W:$W,ROW()+(-3))),IF(G21&gt;0,MAX(F21+G21,p_Start),0)))</f>
        <v>2027</v>
      </c>
      <c r="J21" s="22" t="str">
        <f aca="false">IF($A21="","",IF(AND(G21&gt;0,F21+G21&lt;p_Start),"Over levensduur",IF(AND(I21&gt;0,I21&lt;=p_Start+3),"In begrotingsperiode","")))</f>
        <v>Over levensduur</v>
      </c>
      <c r="K21" s="23" t="n">
        <f aca="false">IF($E21="Lease-koop",p_Aanbet,0)</f>
        <v>10000</v>
      </c>
      <c r="L21" s="23" t="n">
        <f aca="false">IF($E21="Lease-koop",p_Belet,0)</f>
        <v>5000</v>
      </c>
      <c r="M21" s="23" t="n">
        <f aca="false">IF($E21="Lease-koop",p_Opbouw,0)</f>
        <v>7000</v>
      </c>
      <c r="N21" s="23" t="n">
        <f aca="false">IF($E21="Lease-koop",p_Slot,0)</f>
        <v>35000</v>
      </c>
      <c r="O21" s="12" t="n">
        <f aca="false">IF($E21="Lease-koop",I21+p_SlotJr,0)</f>
        <v>2029</v>
      </c>
      <c r="P21" s="23" t="n">
        <f aca="false">IF($E21="Koop",N(INDEX('In gebruik'!$V:$V,ROW()+(-3))),0)</f>
        <v>0</v>
      </c>
      <c r="Q21" s="23" t="n">
        <f aca="false">K21+L21+M21+N21+P21</f>
        <v>57000</v>
      </c>
      <c r="R21" s="12" t="n">
        <f aca="false">IF($E21="Lease-koop",p_AfschrLK,IF($E21="Koop",G21,0))</f>
        <v>6</v>
      </c>
      <c r="S21" s="23" t="n">
        <f aca="false">IF(R21&gt;0,Q21/R21,0)</f>
        <v>9500</v>
      </c>
      <c r="T21" s="12" t="n">
        <f aca="false">IF($E21="Lease-koop",O21+1,IF($E21="Koop",I21+1,0))</f>
        <v>2030</v>
      </c>
      <c r="U21" s="23" t="n">
        <f aca="false">IF($E21="Lease-koop",p_Lease,0)</f>
        <v>12000</v>
      </c>
      <c r="V21" s="24" t="n">
        <f aca="false">IF($A21="",0,N(INDEX('In gebruik'!$R:$R,ROW()+(-3))))</f>
        <v>0</v>
      </c>
      <c r="W21" s="24" t="n">
        <f aca="false">IF($A21="",0,N(INDEX('In gebruik'!$S:$S,ROW()+(-3))))</f>
        <v>0</v>
      </c>
      <c r="X21" s="21" t="n">
        <f aca="false">IF(W21&gt;0,N(INDEX('In gebruik'!$T:$T,ROW()+(-3))),0)</f>
        <v>0</v>
      </c>
      <c r="Y21" s="24" t="n">
        <f aca="false">IF(W21&gt;0,IF(N(INDEX('In gebruik'!$P:$P,ROW()+(-3)))&gt;0,N(INDEX('In gebruik'!$P:$P,ROW()+(-3))),p_Lease),0)</f>
        <v>0</v>
      </c>
      <c r="AA21" s="23" t="n">
        <f aca="false">IF($Q21+$W21=0,0,IF(AA$7=$I21,$K21+$L21+$M21+$P21,0)+IF(AA$7=$O21,$N21,0)+IF(AA$7=$X21,$W21,0))</f>
        <v>22000</v>
      </c>
      <c r="AB21" s="23" t="n">
        <f aca="false">IF($Q21+$W21=0,0,IF(AB$7=$I21,$K21+$L21+$M21+$P21,0)+IF(AB$7=$O21,$N21,0)+IF(AB$7=$X21,$W21,0))</f>
        <v>0</v>
      </c>
      <c r="AC21" s="23" t="n">
        <f aca="false">IF($Q21+$W21=0,0,IF(AC$7=$I21,$K21+$L21+$M21+$P21,0)+IF(AC$7=$O21,$N21,0)+IF(AC$7=$X21,$W21,0))</f>
        <v>35000</v>
      </c>
      <c r="AD21" s="23" t="n">
        <f aca="false">IF($Q21+$W21=0,0,IF(AD$7=$I21,$K21+$L21+$M21+$P21,0)+IF(AD$7=$O21,$N21,0)+IF(AD$7=$X21,$W21,0))</f>
        <v>0</v>
      </c>
      <c r="AE21" s="23" t="n">
        <f aca="false">IF($Q21+$W21=0,0,IF(AE$7=$I21,$K21+$L21+$M21+$P21,0)+IF(AE$7=$O21,$N21,0)+IF(AE$7=$X21,$W21,0))</f>
        <v>0</v>
      </c>
      <c r="AF21" s="23" t="n">
        <f aca="false">IF($Q21+$W21=0,0,IF(AF$7=$I21,$K21+$L21+$M21+$P21,0)+IF(AF$7=$O21,$N21,0)+IF(AF$7=$X21,$W21,0))</f>
        <v>0</v>
      </c>
      <c r="AG21" s="23" t="n">
        <f aca="false">IF($Q21+$W21=0,0,IF(AG$7=$I21,$K21+$L21+$M21+$P21,0)+IF(AG$7=$O21,$N21,0)+IF(AG$7=$X21,$W21,0))</f>
        <v>0</v>
      </c>
      <c r="AH21" s="23" t="n">
        <f aca="false">IF($Q21+$W21=0,0,IF(AH$7=$I21,$K21+$L21+$M21+$P21,0)+IF(AH$7=$O21,$N21,0)+IF(AH$7=$X21,$W21,0))</f>
        <v>0</v>
      </c>
      <c r="AJ21" s="23" t="n">
        <f aca="false">IF(AND($S21&gt;0,AJ$7&gt;=$T21,AJ$7&lt;$T21+$R21),$S21,0)+IF(AND($W21&gt;0,AJ$7&gt;$X21,AJ$7&lt;=$X21+p_AfschrLK),($V21+$W21)/p_AfschrLK,0)</f>
        <v>0</v>
      </c>
      <c r="AK21" s="23" t="n">
        <f aca="false">IF(AND($S21&gt;0,AK$7&gt;=$T21,AK$7&lt;$T21+$R21),$S21,0)+IF(AND($W21&gt;0,AK$7&gt;$X21,AK$7&lt;=$X21+p_AfschrLK),($V21+$W21)/p_AfschrLK,0)</f>
        <v>0</v>
      </c>
      <c r="AL21" s="23" t="n">
        <f aca="false">IF(AND($S21&gt;0,AL$7&gt;=$T21,AL$7&lt;$T21+$R21),$S21,0)+IF(AND($W21&gt;0,AL$7&gt;$X21,AL$7&lt;=$X21+p_AfschrLK),($V21+$W21)/p_AfschrLK,0)</f>
        <v>0</v>
      </c>
      <c r="AM21" s="23" t="n">
        <f aca="false">IF(AND($S21&gt;0,AM$7&gt;=$T21,AM$7&lt;$T21+$R21),$S21,0)+IF(AND($W21&gt;0,AM$7&gt;$X21,AM$7&lt;=$X21+p_AfschrLK),($V21+$W21)/p_AfschrLK,0)</f>
        <v>9500</v>
      </c>
      <c r="AN21" s="23" t="n">
        <f aca="false">IF(AND($S21&gt;0,AN$7&gt;=$T21,AN$7&lt;$T21+$R21),$S21,0)+IF(AND($W21&gt;0,AN$7&gt;$X21,AN$7&lt;=$X21+p_AfschrLK),($V21+$W21)/p_AfschrLK,0)</f>
        <v>9500</v>
      </c>
      <c r="AO21" s="23" t="n">
        <f aca="false">IF(AND($S21&gt;0,AO$7&gt;=$T21,AO$7&lt;$T21+$R21),$S21,0)+IF(AND($W21&gt;0,AO$7&gt;$X21,AO$7&lt;=$X21+p_AfschrLK),($V21+$W21)/p_AfschrLK,0)</f>
        <v>9500</v>
      </c>
      <c r="AP21" s="23" t="n">
        <f aca="false">IF(AND($S21&gt;0,AP$7&gt;=$T21,AP$7&lt;$T21+$R21),$S21,0)+IF(AND($W21&gt;0,AP$7&gt;$X21,AP$7&lt;=$X21+p_AfschrLK),($V21+$W21)/p_AfschrLK,0)</f>
        <v>9500</v>
      </c>
      <c r="AQ21" s="23" t="n">
        <f aca="false">IF(AND($S21&gt;0,AQ$7&gt;=$T21,AQ$7&lt;$T21+$R21),$S21,0)+IF(AND($W21&gt;0,AQ$7&gt;$X21,AQ$7&lt;=$X21+p_AfschrLK),($V21+$W21)/p_AfschrLK,0)</f>
        <v>9500</v>
      </c>
    </row>
    <row r="22" customFormat="false" ht="15" hidden="false" customHeight="false" outlineLevel="0" collapsed="false">
      <c r="A22" s="20" t="str">
        <f aca="false">IF(INDEX('In gebruik'!$A:$A,ROW()+(-3))="","",INDEX('In gebruik'!$A:$A,ROW()+(-3)))</f>
        <v>V15</v>
      </c>
      <c r="B22" s="20" t="str">
        <f aca="false">IF($A22="","",INDEX('In gebruik'!$B:$B,ROW()+(-3))&amp;"")</f>
        <v/>
      </c>
      <c r="C22" s="20" t="str">
        <f aca="false">IF($A22="","",INDEX('In gebruik'!$H:$H,ROW()+(-3))&amp;"")</f>
        <v>bedrijfsauto</v>
      </c>
      <c r="D22" s="20" t="str">
        <f aca="false">IF($A22="","",INDEX('In gebruik'!$G:$G,ROW()+(-3))&amp;"")</f>
        <v>Garage</v>
      </c>
      <c r="E22" s="20" t="str">
        <f aca="false">IF($A22="","",INDEX('In gebruik'!$U:$U,ROW()+(-3))&amp;"")</f>
        <v>Lease-koop</v>
      </c>
      <c r="F22" s="21" t="n">
        <f aca="false">IF($A22="",0,N(INDEX('In gebruik'!$J:$J,ROW()+(-3))))</f>
        <v>2026</v>
      </c>
      <c r="G22" s="21" t="n">
        <f aca="false">IF($A22="",0,N(INDEX('In gebruik'!$K:$K,ROW()+(-3))))</f>
        <v>8</v>
      </c>
      <c r="H22" s="12" t="n">
        <f aca="false">IF(G22&gt;0,F22+G22-1,0)</f>
        <v>2033</v>
      </c>
      <c r="I22" s="12" t="n">
        <f aca="false">IF($A22="",0,IF(N(INDEX('In gebruik'!$W:$W,ROW()+(-3)))&gt;0,N(INDEX('In gebruik'!$W:$W,ROW()+(-3))),IF(G22&gt;0,MAX(F22+G22,p_Start),0)))</f>
        <v>2034</v>
      </c>
      <c r="J22" s="22" t="str">
        <f aca="false">IF($A22="","",IF(AND(G22&gt;0,F22+G22&lt;p_Start),"Over levensduur",IF(AND(I22&gt;0,I22&lt;=p_Start+3),"In begrotingsperiode","")))</f>
        <v/>
      </c>
      <c r="K22" s="23" t="n">
        <f aca="false">IF($E22="Lease-koop",p_Aanbet,0)</f>
        <v>10000</v>
      </c>
      <c r="L22" s="23" t="n">
        <f aca="false">IF($E22="Lease-koop",p_Belet,0)</f>
        <v>5000</v>
      </c>
      <c r="M22" s="23" t="n">
        <f aca="false">IF($E22="Lease-koop",p_Opbouw,0)</f>
        <v>7000</v>
      </c>
      <c r="N22" s="23" t="n">
        <f aca="false">IF($E22="Lease-koop",p_Slot,0)</f>
        <v>35000</v>
      </c>
      <c r="O22" s="12" t="n">
        <f aca="false">IF($E22="Lease-koop",I22+p_SlotJr,0)</f>
        <v>2036</v>
      </c>
      <c r="P22" s="23" t="n">
        <f aca="false">IF($E22="Koop",N(INDEX('In gebruik'!$V:$V,ROW()+(-3))),0)</f>
        <v>0</v>
      </c>
      <c r="Q22" s="23" t="n">
        <f aca="false">K22+L22+M22+N22+P22</f>
        <v>57000</v>
      </c>
      <c r="R22" s="12" t="n">
        <f aca="false">IF($E22="Lease-koop",p_AfschrLK,IF($E22="Koop",G22,0))</f>
        <v>6</v>
      </c>
      <c r="S22" s="23" t="n">
        <f aca="false">IF(R22&gt;0,Q22/R22,0)</f>
        <v>9500</v>
      </c>
      <c r="T22" s="12" t="n">
        <f aca="false">IF($E22="Lease-koop",O22+1,IF($E22="Koop",I22+1,0))</f>
        <v>2037</v>
      </c>
      <c r="U22" s="23" t="n">
        <f aca="false">IF($E22="Lease-koop",p_Lease,0)</f>
        <v>12000</v>
      </c>
      <c r="V22" s="24" t="n">
        <f aca="false">IF($A22="",0,N(INDEX('In gebruik'!$R:$R,ROW()+(-3))))</f>
        <v>11000</v>
      </c>
      <c r="W22" s="24" t="n">
        <f aca="false">IF($A22="",0,N(INDEX('In gebruik'!$S:$S,ROW()+(-3))))</f>
        <v>30000</v>
      </c>
      <c r="X22" s="21" t="n">
        <f aca="false">IF(W22&gt;0,N(INDEX('In gebruik'!$T:$T,ROW()+(-3))),0)</f>
        <v>2028</v>
      </c>
      <c r="Y22" s="24" t="n">
        <f aca="false">IF(W22&gt;0,IF(N(INDEX('In gebruik'!$P:$P,ROW()+(-3)))&gt;0,N(INDEX('In gebruik'!$P:$P,ROW()+(-3))),p_Lease),0)</f>
        <v>11641.6859504132</v>
      </c>
      <c r="AA22" s="23" t="n">
        <f aca="false">IF($Q22+$W22=0,0,IF(AA$7=$I22,$K22+$L22+$M22+$P22,0)+IF(AA$7=$O22,$N22,0)+IF(AA$7=$X22,$W22,0))</f>
        <v>0</v>
      </c>
      <c r="AB22" s="23" t="n">
        <f aca="false">IF($Q22+$W22=0,0,IF(AB$7=$I22,$K22+$L22+$M22+$P22,0)+IF(AB$7=$O22,$N22,0)+IF(AB$7=$X22,$W22,0))</f>
        <v>30000</v>
      </c>
      <c r="AC22" s="23" t="n">
        <f aca="false">IF($Q22+$W22=0,0,IF(AC$7=$I22,$K22+$L22+$M22+$P22,0)+IF(AC$7=$O22,$N22,0)+IF(AC$7=$X22,$W22,0))</f>
        <v>0</v>
      </c>
      <c r="AD22" s="23" t="n">
        <f aca="false">IF($Q22+$W22=0,0,IF(AD$7=$I22,$K22+$L22+$M22+$P22,0)+IF(AD$7=$O22,$N22,0)+IF(AD$7=$X22,$W22,0))</f>
        <v>0</v>
      </c>
      <c r="AE22" s="23" t="n">
        <f aca="false">IF($Q22+$W22=0,0,IF(AE$7=$I22,$K22+$L22+$M22+$P22,0)+IF(AE$7=$O22,$N22,0)+IF(AE$7=$X22,$W22,0))</f>
        <v>0</v>
      </c>
      <c r="AF22" s="23" t="n">
        <f aca="false">IF($Q22+$W22=0,0,IF(AF$7=$I22,$K22+$L22+$M22+$P22,0)+IF(AF$7=$O22,$N22,0)+IF(AF$7=$X22,$W22,0))</f>
        <v>0</v>
      </c>
      <c r="AG22" s="23" t="n">
        <f aca="false">IF($Q22+$W22=0,0,IF(AG$7=$I22,$K22+$L22+$M22+$P22,0)+IF(AG$7=$O22,$N22,0)+IF(AG$7=$X22,$W22,0))</f>
        <v>0</v>
      </c>
      <c r="AH22" s="23" t="n">
        <f aca="false">IF($Q22+$W22=0,0,IF(AH$7=$I22,$K22+$L22+$M22+$P22,0)+IF(AH$7=$O22,$N22,0)+IF(AH$7=$X22,$W22,0))</f>
        <v>22000</v>
      </c>
      <c r="AJ22" s="23" t="n">
        <f aca="false">IF(AND($S22&gt;0,AJ$7&gt;=$T22,AJ$7&lt;$T22+$R22),$S22,0)+IF(AND($W22&gt;0,AJ$7&gt;$X22,AJ$7&lt;=$X22+p_AfschrLK),($V22+$W22)/p_AfschrLK,0)</f>
        <v>0</v>
      </c>
      <c r="AK22" s="23" t="n">
        <f aca="false">IF(AND($S22&gt;0,AK$7&gt;=$T22,AK$7&lt;$T22+$R22),$S22,0)+IF(AND($W22&gt;0,AK$7&gt;$X22,AK$7&lt;=$X22+p_AfschrLK),($V22+$W22)/p_AfschrLK,0)</f>
        <v>0</v>
      </c>
      <c r="AL22" s="23" t="n">
        <f aca="false">IF(AND($S22&gt;0,AL$7&gt;=$T22,AL$7&lt;$T22+$R22),$S22,0)+IF(AND($W22&gt;0,AL$7&gt;$X22,AL$7&lt;=$X22+p_AfschrLK),($V22+$W22)/p_AfschrLK,0)</f>
        <v>6833.33333333333</v>
      </c>
      <c r="AM22" s="23" t="n">
        <f aca="false">IF(AND($S22&gt;0,AM$7&gt;=$T22,AM$7&lt;$T22+$R22),$S22,0)+IF(AND($W22&gt;0,AM$7&gt;$X22,AM$7&lt;=$X22+p_AfschrLK),($V22+$W22)/p_AfschrLK,0)</f>
        <v>6833.33333333333</v>
      </c>
      <c r="AN22" s="23" t="n">
        <f aca="false">IF(AND($S22&gt;0,AN$7&gt;=$T22,AN$7&lt;$T22+$R22),$S22,0)+IF(AND($W22&gt;0,AN$7&gt;$X22,AN$7&lt;=$X22+p_AfschrLK),($V22+$W22)/p_AfschrLK,0)</f>
        <v>6833.33333333333</v>
      </c>
      <c r="AO22" s="23" t="n">
        <f aca="false">IF(AND($S22&gt;0,AO$7&gt;=$T22,AO$7&lt;$T22+$R22),$S22,0)+IF(AND($W22&gt;0,AO$7&gt;$X22,AO$7&lt;=$X22+p_AfschrLK),($V22+$W22)/p_AfschrLK,0)</f>
        <v>6833.33333333333</v>
      </c>
      <c r="AP22" s="23" t="n">
        <f aca="false">IF(AND($S22&gt;0,AP$7&gt;=$T22,AP$7&lt;$T22+$R22),$S22,0)+IF(AND($W22&gt;0,AP$7&gt;$X22,AP$7&lt;=$X22+p_AfschrLK),($V22+$W22)/p_AfschrLK,0)</f>
        <v>6833.33333333333</v>
      </c>
      <c r="AQ22" s="23" t="n">
        <f aca="false">IF(AND($S22&gt;0,AQ$7&gt;=$T22,AQ$7&lt;$T22+$R22),$S22,0)+IF(AND($W22&gt;0,AQ$7&gt;$X22,AQ$7&lt;=$X22+p_AfschrLK),($V22+$W22)/p_AfschrLK,0)</f>
        <v>6833.33333333333</v>
      </c>
    </row>
    <row r="23" customFormat="false" ht="15" hidden="false" customHeight="false" outlineLevel="0" collapsed="false">
      <c r="A23" s="20" t="str">
        <f aca="false">IF(INDEX('In gebruik'!$A:$A,ROW()+(-3))="","",INDEX('In gebruik'!$A:$A,ROW()+(-3)))</f>
        <v>V16</v>
      </c>
      <c r="B23" s="20" t="str">
        <f aca="false">IF($A23="","",INDEX('In gebruik'!$B:$B,ROW()+(-3))&amp;"")</f>
        <v/>
      </c>
      <c r="C23" s="20" t="str">
        <f aca="false">IF($A23="","",INDEX('In gebruik'!$H:$H,ROW()+(-3))&amp;"")</f>
        <v>bedrijfsauto</v>
      </c>
      <c r="D23" s="20" t="str">
        <f aca="false">IF($A23="","",INDEX('In gebruik'!$G:$G,ROW()+(-3))&amp;"")</f>
        <v>Sport</v>
      </c>
      <c r="E23" s="20" t="str">
        <f aca="false">IF($A23="","",INDEX('In gebruik'!$U:$U,ROW()+(-3))&amp;"")</f>
        <v>Lease-koop</v>
      </c>
      <c r="F23" s="21" t="n">
        <f aca="false">IF($A23="",0,N(INDEX('In gebruik'!$J:$J,ROW()+(-3))))</f>
        <v>2026</v>
      </c>
      <c r="G23" s="21" t="n">
        <f aca="false">IF($A23="",0,N(INDEX('In gebruik'!$K:$K,ROW()+(-3))))</f>
        <v>8</v>
      </c>
      <c r="H23" s="12" t="n">
        <f aca="false">IF(G23&gt;0,F23+G23-1,0)</f>
        <v>2033</v>
      </c>
      <c r="I23" s="12" t="n">
        <f aca="false">IF($A23="",0,IF(N(INDEX('In gebruik'!$W:$W,ROW()+(-3)))&gt;0,N(INDEX('In gebruik'!$W:$W,ROW()+(-3))),IF(G23&gt;0,MAX(F23+G23,p_Start),0)))</f>
        <v>2034</v>
      </c>
      <c r="J23" s="22" t="str">
        <f aca="false">IF($A23="","",IF(AND(G23&gt;0,F23+G23&lt;p_Start),"Over levensduur",IF(AND(I23&gt;0,I23&lt;=p_Start+3),"In begrotingsperiode","")))</f>
        <v/>
      </c>
      <c r="K23" s="23" t="n">
        <f aca="false">IF($E23="Lease-koop",p_Aanbet,0)</f>
        <v>10000</v>
      </c>
      <c r="L23" s="23" t="n">
        <f aca="false">IF($E23="Lease-koop",p_Belet,0)</f>
        <v>5000</v>
      </c>
      <c r="M23" s="23" t="n">
        <f aca="false">IF($E23="Lease-koop",p_Opbouw,0)</f>
        <v>7000</v>
      </c>
      <c r="N23" s="23" t="n">
        <f aca="false">IF($E23="Lease-koop",p_Slot,0)</f>
        <v>35000</v>
      </c>
      <c r="O23" s="12" t="n">
        <f aca="false">IF($E23="Lease-koop",I23+p_SlotJr,0)</f>
        <v>2036</v>
      </c>
      <c r="P23" s="23" t="n">
        <f aca="false">IF($E23="Koop",N(INDEX('In gebruik'!$V:$V,ROW()+(-3))),0)</f>
        <v>0</v>
      </c>
      <c r="Q23" s="23" t="n">
        <f aca="false">K23+L23+M23+N23+P23</f>
        <v>57000</v>
      </c>
      <c r="R23" s="12" t="n">
        <f aca="false">IF($E23="Lease-koop",p_AfschrLK,IF($E23="Koop",G23,0))</f>
        <v>6</v>
      </c>
      <c r="S23" s="23" t="n">
        <f aca="false">IF(R23&gt;0,Q23/R23,0)</f>
        <v>9500</v>
      </c>
      <c r="T23" s="12" t="n">
        <f aca="false">IF($E23="Lease-koop",O23+1,IF($E23="Koop",I23+1,0))</f>
        <v>2037</v>
      </c>
      <c r="U23" s="23" t="n">
        <f aca="false">IF($E23="Lease-koop",p_Lease,0)</f>
        <v>12000</v>
      </c>
      <c r="V23" s="24" t="n">
        <f aca="false">IF($A23="",0,N(INDEX('In gebruik'!$R:$R,ROW()+(-3))))</f>
        <v>13310</v>
      </c>
      <c r="W23" s="24" t="n">
        <f aca="false">IF($A23="",0,N(INDEX('In gebruik'!$S:$S,ROW()+(-3))))</f>
        <v>36300</v>
      </c>
      <c r="X23" s="21" t="n">
        <f aca="false">IF(W23&gt;0,N(INDEX('In gebruik'!$T:$T,ROW()+(-3))),0)</f>
        <v>2028</v>
      </c>
      <c r="Y23" s="24" t="n">
        <f aca="false">IF(W23&gt;0,IF(N(INDEX('In gebruik'!$P:$P,ROW()+(-3)))&gt;0,N(INDEX('In gebruik'!$P:$P,ROW()+(-3))),p_Lease),0)</f>
        <v>14085.84</v>
      </c>
      <c r="AA23" s="23" t="n">
        <f aca="false">IF($Q23+$W23=0,0,IF(AA$7=$I23,$K23+$L23+$M23+$P23,0)+IF(AA$7=$O23,$N23,0)+IF(AA$7=$X23,$W23,0))</f>
        <v>0</v>
      </c>
      <c r="AB23" s="23" t="n">
        <f aca="false">IF($Q23+$W23=0,0,IF(AB$7=$I23,$K23+$L23+$M23+$P23,0)+IF(AB$7=$O23,$N23,0)+IF(AB$7=$X23,$W23,0))</f>
        <v>36300</v>
      </c>
      <c r="AC23" s="23" t="n">
        <f aca="false">IF($Q23+$W23=0,0,IF(AC$7=$I23,$K23+$L23+$M23+$P23,0)+IF(AC$7=$O23,$N23,0)+IF(AC$7=$X23,$W23,0))</f>
        <v>0</v>
      </c>
      <c r="AD23" s="23" t="n">
        <f aca="false">IF($Q23+$W23=0,0,IF(AD$7=$I23,$K23+$L23+$M23+$P23,0)+IF(AD$7=$O23,$N23,0)+IF(AD$7=$X23,$W23,0))</f>
        <v>0</v>
      </c>
      <c r="AE23" s="23" t="n">
        <f aca="false">IF($Q23+$W23=0,0,IF(AE$7=$I23,$K23+$L23+$M23+$P23,0)+IF(AE$7=$O23,$N23,0)+IF(AE$7=$X23,$W23,0))</f>
        <v>0</v>
      </c>
      <c r="AF23" s="23" t="n">
        <f aca="false">IF($Q23+$W23=0,0,IF(AF$7=$I23,$K23+$L23+$M23+$P23,0)+IF(AF$7=$O23,$N23,0)+IF(AF$7=$X23,$W23,0))</f>
        <v>0</v>
      </c>
      <c r="AG23" s="23" t="n">
        <f aca="false">IF($Q23+$W23=0,0,IF(AG$7=$I23,$K23+$L23+$M23+$P23,0)+IF(AG$7=$O23,$N23,0)+IF(AG$7=$X23,$W23,0))</f>
        <v>0</v>
      </c>
      <c r="AH23" s="23" t="n">
        <f aca="false">IF($Q23+$W23=0,0,IF(AH$7=$I23,$K23+$L23+$M23+$P23,0)+IF(AH$7=$O23,$N23,0)+IF(AH$7=$X23,$W23,0))</f>
        <v>22000</v>
      </c>
      <c r="AJ23" s="23" t="n">
        <f aca="false">IF(AND($S23&gt;0,AJ$7&gt;=$T23,AJ$7&lt;$T23+$R23),$S23,0)+IF(AND($W23&gt;0,AJ$7&gt;$X23,AJ$7&lt;=$X23+p_AfschrLK),($V23+$W23)/p_AfschrLK,0)</f>
        <v>0</v>
      </c>
      <c r="AK23" s="23" t="n">
        <f aca="false">IF(AND($S23&gt;0,AK$7&gt;=$T23,AK$7&lt;$T23+$R23),$S23,0)+IF(AND($W23&gt;0,AK$7&gt;$X23,AK$7&lt;=$X23+p_AfschrLK),($V23+$W23)/p_AfschrLK,0)</f>
        <v>0</v>
      </c>
      <c r="AL23" s="23" t="n">
        <f aca="false">IF(AND($S23&gt;0,AL$7&gt;=$T23,AL$7&lt;$T23+$R23),$S23,0)+IF(AND($W23&gt;0,AL$7&gt;$X23,AL$7&lt;=$X23+p_AfschrLK),($V23+$W23)/p_AfschrLK,0)</f>
        <v>8268.33333333333</v>
      </c>
      <c r="AM23" s="23" t="n">
        <f aca="false">IF(AND($S23&gt;0,AM$7&gt;=$T23,AM$7&lt;$T23+$R23),$S23,0)+IF(AND($W23&gt;0,AM$7&gt;$X23,AM$7&lt;=$X23+p_AfschrLK),($V23+$W23)/p_AfschrLK,0)</f>
        <v>8268.33333333333</v>
      </c>
      <c r="AN23" s="23" t="n">
        <f aca="false">IF(AND($S23&gt;0,AN$7&gt;=$T23,AN$7&lt;$T23+$R23),$S23,0)+IF(AND($W23&gt;0,AN$7&gt;$X23,AN$7&lt;=$X23+p_AfschrLK),($V23+$W23)/p_AfschrLK,0)</f>
        <v>8268.33333333333</v>
      </c>
      <c r="AO23" s="23" t="n">
        <f aca="false">IF(AND($S23&gt;0,AO$7&gt;=$T23,AO$7&lt;$T23+$R23),$S23,0)+IF(AND($W23&gt;0,AO$7&gt;$X23,AO$7&lt;=$X23+p_AfschrLK),($V23+$W23)/p_AfschrLK,0)</f>
        <v>8268.33333333333</v>
      </c>
      <c r="AP23" s="23" t="n">
        <f aca="false">IF(AND($S23&gt;0,AP$7&gt;=$T23,AP$7&lt;$T23+$R23),$S23,0)+IF(AND($W23&gt;0,AP$7&gt;$X23,AP$7&lt;=$X23+p_AfschrLK),($V23+$W23)/p_AfschrLK,0)</f>
        <v>8268.33333333333</v>
      </c>
      <c r="AQ23" s="23" t="n">
        <f aca="false">IF(AND($S23&gt;0,AQ$7&gt;=$T23,AQ$7&lt;$T23+$R23),$S23,0)+IF(AND($W23&gt;0,AQ$7&gt;$X23,AQ$7&lt;=$X23+p_AfschrLK),($V23+$W23)/p_AfschrLK,0)</f>
        <v>8268.33333333333</v>
      </c>
    </row>
    <row r="24" customFormat="false" ht="15" hidden="false" customHeight="false" outlineLevel="0" collapsed="false">
      <c r="A24" s="20" t="str">
        <f aca="false">IF(INDEX('In gebruik'!$A:$A,ROW()+(-3))="","",INDEX('In gebruik'!$A:$A,ROW()+(-3)))</f>
        <v>V17</v>
      </c>
      <c r="B24" s="20" t="str">
        <f aca="false">IF($A24="","",INDEX('In gebruik'!$B:$B,ROW()+(-3))&amp;"")</f>
        <v>V-73-NRS</v>
      </c>
      <c r="C24" s="20" t="str">
        <f aca="false">IF($A24="","",INDEX('In gebruik'!$H:$H,ROW()+(-3))&amp;"")</f>
        <v>bedrijfsauto</v>
      </c>
      <c r="D24" s="20" t="str">
        <f aca="false">IF($A24="","",INDEX('In gebruik'!$G:$G,ROW()+(-3))&amp;"")</f>
        <v>Timmerman</v>
      </c>
      <c r="E24" s="20" t="str">
        <f aca="false">IF($A24="","",INDEX('In gebruik'!$U:$U,ROW()+(-3))&amp;"")</f>
        <v>Lease-koop</v>
      </c>
      <c r="F24" s="21" t="n">
        <f aca="false">IF($A24="",0,N(INDEX('In gebruik'!$J:$J,ROW()+(-3))))</f>
        <v>2026</v>
      </c>
      <c r="G24" s="21" t="n">
        <f aca="false">IF($A24="",0,N(INDEX('In gebruik'!$K:$K,ROW()+(-3))))</f>
        <v>8</v>
      </c>
      <c r="H24" s="12" t="n">
        <f aca="false">IF(G24&gt;0,F24+G24-1,0)</f>
        <v>2033</v>
      </c>
      <c r="I24" s="12" t="n">
        <f aca="false">IF($A24="",0,IF(N(INDEX('In gebruik'!$W:$W,ROW()+(-3)))&gt;0,N(INDEX('In gebruik'!$W:$W,ROW()+(-3))),IF(G24&gt;0,MAX(F24+G24,p_Start),0)))</f>
        <v>2034</v>
      </c>
      <c r="J24" s="22" t="str">
        <f aca="false">IF($A24="","",IF(AND(G24&gt;0,F24+G24&lt;p_Start),"Over levensduur",IF(AND(I24&gt;0,I24&lt;=p_Start+3),"In begrotingsperiode","")))</f>
        <v/>
      </c>
      <c r="K24" s="23" t="n">
        <f aca="false">IF($E24="Lease-koop",p_Aanbet,0)</f>
        <v>10000</v>
      </c>
      <c r="L24" s="23" t="n">
        <f aca="false">IF($E24="Lease-koop",p_Belet,0)</f>
        <v>5000</v>
      </c>
      <c r="M24" s="23" t="n">
        <f aca="false">IF($E24="Lease-koop",p_Opbouw,0)</f>
        <v>7000</v>
      </c>
      <c r="N24" s="23" t="n">
        <f aca="false">IF($E24="Lease-koop",p_Slot,0)</f>
        <v>35000</v>
      </c>
      <c r="O24" s="12" t="n">
        <f aca="false">IF($E24="Lease-koop",I24+p_SlotJr,0)</f>
        <v>2036</v>
      </c>
      <c r="P24" s="23" t="n">
        <f aca="false">IF($E24="Koop",N(INDEX('In gebruik'!$V:$V,ROW()+(-3))),0)</f>
        <v>0</v>
      </c>
      <c r="Q24" s="23" t="n">
        <f aca="false">K24+L24+M24+N24+P24</f>
        <v>57000</v>
      </c>
      <c r="R24" s="12" t="n">
        <f aca="false">IF($E24="Lease-koop",p_AfschrLK,IF($E24="Koop",G24,0))</f>
        <v>6</v>
      </c>
      <c r="S24" s="23" t="n">
        <f aca="false">IF(R24&gt;0,Q24/R24,0)</f>
        <v>9500</v>
      </c>
      <c r="T24" s="12" t="n">
        <f aca="false">IF($E24="Lease-koop",O24+1,IF($E24="Koop",I24+1,0))</f>
        <v>2037</v>
      </c>
      <c r="U24" s="23" t="n">
        <f aca="false">IF($E24="Lease-koop",p_Lease,0)</f>
        <v>12000</v>
      </c>
      <c r="V24" s="24" t="n">
        <f aca="false">IF($A24="",0,N(INDEX('In gebruik'!$R:$R,ROW()+(-3))))</f>
        <v>11000</v>
      </c>
      <c r="W24" s="24" t="n">
        <f aca="false">IF($A24="",0,N(INDEX('In gebruik'!$S:$S,ROW()+(-3))))</f>
        <v>30000</v>
      </c>
      <c r="X24" s="21" t="n">
        <f aca="false">IF(W24&gt;0,N(INDEX('In gebruik'!$T:$T,ROW()+(-3))),0)</f>
        <v>2028</v>
      </c>
      <c r="Y24" s="24" t="n">
        <f aca="false">IF(W24&gt;0,IF(N(INDEX('In gebruik'!$P:$P,ROW()+(-3)))&gt;0,N(INDEX('In gebruik'!$P:$P,ROW()+(-3))),p_Lease),0)</f>
        <v>11786.52</v>
      </c>
      <c r="AA24" s="23" t="n">
        <f aca="false">IF($Q24+$W24=0,0,IF(AA$7=$I24,$K24+$L24+$M24+$P24,0)+IF(AA$7=$O24,$N24,0)+IF(AA$7=$X24,$W24,0))</f>
        <v>0</v>
      </c>
      <c r="AB24" s="23" t="n">
        <f aca="false">IF($Q24+$W24=0,0,IF(AB$7=$I24,$K24+$L24+$M24+$P24,0)+IF(AB$7=$O24,$N24,0)+IF(AB$7=$X24,$W24,0))</f>
        <v>30000</v>
      </c>
      <c r="AC24" s="23" t="n">
        <f aca="false">IF($Q24+$W24=0,0,IF(AC$7=$I24,$K24+$L24+$M24+$P24,0)+IF(AC$7=$O24,$N24,0)+IF(AC$7=$X24,$W24,0))</f>
        <v>0</v>
      </c>
      <c r="AD24" s="23" t="n">
        <f aca="false">IF($Q24+$W24=0,0,IF(AD$7=$I24,$K24+$L24+$M24+$P24,0)+IF(AD$7=$O24,$N24,0)+IF(AD$7=$X24,$W24,0))</f>
        <v>0</v>
      </c>
      <c r="AE24" s="23" t="n">
        <f aca="false">IF($Q24+$W24=0,0,IF(AE$7=$I24,$K24+$L24+$M24+$P24,0)+IF(AE$7=$O24,$N24,0)+IF(AE$7=$X24,$W24,0))</f>
        <v>0</v>
      </c>
      <c r="AF24" s="23" t="n">
        <f aca="false">IF($Q24+$W24=0,0,IF(AF$7=$I24,$K24+$L24+$M24+$P24,0)+IF(AF$7=$O24,$N24,0)+IF(AF$7=$X24,$W24,0))</f>
        <v>0</v>
      </c>
      <c r="AG24" s="23" t="n">
        <f aca="false">IF($Q24+$W24=0,0,IF(AG$7=$I24,$K24+$L24+$M24+$P24,0)+IF(AG$7=$O24,$N24,0)+IF(AG$7=$X24,$W24,0))</f>
        <v>0</v>
      </c>
      <c r="AH24" s="23" t="n">
        <f aca="false">IF($Q24+$W24=0,0,IF(AH$7=$I24,$K24+$L24+$M24+$P24,0)+IF(AH$7=$O24,$N24,0)+IF(AH$7=$X24,$W24,0))</f>
        <v>22000</v>
      </c>
      <c r="AJ24" s="23" t="n">
        <f aca="false">IF(AND($S24&gt;0,AJ$7&gt;=$T24,AJ$7&lt;$T24+$R24),$S24,0)+IF(AND($W24&gt;0,AJ$7&gt;$X24,AJ$7&lt;=$X24+p_AfschrLK),($V24+$W24)/p_AfschrLK,0)</f>
        <v>0</v>
      </c>
      <c r="AK24" s="23" t="n">
        <f aca="false">IF(AND($S24&gt;0,AK$7&gt;=$T24,AK$7&lt;$T24+$R24),$S24,0)+IF(AND($W24&gt;0,AK$7&gt;$X24,AK$7&lt;=$X24+p_AfschrLK),($V24+$W24)/p_AfschrLK,0)</f>
        <v>0</v>
      </c>
      <c r="AL24" s="23" t="n">
        <f aca="false">IF(AND($S24&gt;0,AL$7&gt;=$T24,AL$7&lt;$T24+$R24),$S24,0)+IF(AND($W24&gt;0,AL$7&gt;$X24,AL$7&lt;=$X24+p_AfschrLK),($V24+$W24)/p_AfschrLK,0)</f>
        <v>6833.33333333333</v>
      </c>
      <c r="AM24" s="23" t="n">
        <f aca="false">IF(AND($S24&gt;0,AM$7&gt;=$T24,AM$7&lt;$T24+$R24),$S24,0)+IF(AND($W24&gt;0,AM$7&gt;$X24,AM$7&lt;=$X24+p_AfschrLK),($V24+$W24)/p_AfschrLK,0)</f>
        <v>6833.33333333333</v>
      </c>
      <c r="AN24" s="23" t="n">
        <f aca="false">IF(AND($S24&gt;0,AN$7&gt;=$T24,AN$7&lt;$T24+$R24),$S24,0)+IF(AND($W24&gt;0,AN$7&gt;$X24,AN$7&lt;=$X24+p_AfschrLK),($V24+$W24)/p_AfschrLK,0)</f>
        <v>6833.33333333333</v>
      </c>
      <c r="AO24" s="23" t="n">
        <f aca="false">IF(AND($S24&gt;0,AO$7&gt;=$T24,AO$7&lt;$T24+$R24),$S24,0)+IF(AND($W24&gt;0,AO$7&gt;$X24,AO$7&lt;=$X24+p_AfschrLK),($V24+$W24)/p_AfschrLK,0)</f>
        <v>6833.33333333333</v>
      </c>
      <c r="AP24" s="23" t="n">
        <f aca="false">IF(AND($S24&gt;0,AP$7&gt;=$T24,AP$7&lt;$T24+$R24),$S24,0)+IF(AND($W24&gt;0,AP$7&gt;$X24,AP$7&lt;=$X24+p_AfschrLK),($V24+$W24)/p_AfschrLK,0)</f>
        <v>6833.33333333333</v>
      </c>
      <c r="AQ24" s="23" t="n">
        <f aca="false">IF(AND($S24&gt;0,AQ$7&gt;=$T24,AQ$7&lt;$T24+$R24),$S24,0)+IF(AND($W24&gt;0,AQ$7&gt;$X24,AQ$7&lt;=$X24+p_AfschrLK),($V24+$W24)/p_AfschrLK,0)</f>
        <v>6833.33333333333</v>
      </c>
    </row>
    <row r="25" customFormat="false" ht="15" hidden="false" customHeight="false" outlineLevel="0" collapsed="false">
      <c r="A25" s="20" t="str">
        <f aca="false">IF(INDEX('In gebruik'!$A:$A,ROW()+(-3))="","",INDEX('In gebruik'!$A:$A,ROW()+(-3)))</f>
        <v>V18</v>
      </c>
      <c r="B25" s="20" t="str">
        <f aca="false">IF($A25="","",INDEX('In gebruik'!$B:$B,ROW()+(-3))&amp;"")</f>
        <v>T-63-FGV</v>
      </c>
      <c r="C25" s="20" t="str">
        <f aca="false">IF($A25="","",INDEX('In gebruik'!$H:$H,ROW()+(-3))&amp;"")</f>
        <v>tractor</v>
      </c>
      <c r="D25" s="20" t="str">
        <f aca="false">IF($A25="","",INDEX('In gebruik'!$G:$G,ROW()+(-3))&amp;"")</f>
        <v>Sport</v>
      </c>
      <c r="E25" s="20" t="str">
        <f aca="false">IF($A25="","",INDEX('In gebruik'!$U:$U,ROW()+(-3))&amp;"")</f>
        <v>Koop</v>
      </c>
      <c r="F25" s="21" t="n">
        <f aca="false">IF($A25="",0,N(INDEX('In gebruik'!$J:$J,ROW()+(-3))))</f>
        <v>2023</v>
      </c>
      <c r="G25" s="21" t="n">
        <f aca="false">IF($A25="",0,N(INDEX('In gebruik'!$K:$K,ROW()+(-3))))</f>
        <v>15</v>
      </c>
      <c r="H25" s="12" t="n">
        <f aca="false">IF(G25&gt;0,F25+G25-1,0)</f>
        <v>2037</v>
      </c>
      <c r="I25" s="12" t="n">
        <f aca="false">IF($A25="",0,IF(N(INDEX('In gebruik'!$W:$W,ROW()+(-3)))&gt;0,N(INDEX('In gebruik'!$W:$W,ROW()+(-3))),IF(G25&gt;0,MAX(F25+G25,p_Start),0)))</f>
        <v>2038</v>
      </c>
      <c r="J25" s="22" t="str">
        <f aca="false">IF($A25="","",IF(AND(G25&gt;0,F25+G25&lt;p_Start),"Over levensduur",IF(AND(I25&gt;0,I25&lt;=p_Start+3),"In begrotingsperiode","")))</f>
        <v/>
      </c>
      <c r="K25" s="23" t="n">
        <f aca="false">IF($E25="Lease-koop",p_Aanbet,0)</f>
        <v>0</v>
      </c>
      <c r="L25" s="23" t="n">
        <f aca="false">IF($E25="Lease-koop",p_Belet,0)</f>
        <v>0</v>
      </c>
      <c r="M25" s="23" t="n">
        <f aca="false">IF($E25="Lease-koop",p_Opbouw,0)</f>
        <v>0</v>
      </c>
      <c r="N25" s="23" t="n">
        <f aca="false">IF($E25="Lease-koop",p_Slot,0)</f>
        <v>0</v>
      </c>
      <c r="O25" s="12" t="n">
        <f aca="false">IF($E25="Lease-koop",I25+p_SlotJr,0)</f>
        <v>0</v>
      </c>
      <c r="P25" s="23" t="n">
        <f aca="false">IF($E25="Koop",N(INDEX('In gebruik'!$V:$V,ROW()+(-3))),0)</f>
        <v>121968</v>
      </c>
      <c r="Q25" s="23" t="n">
        <f aca="false">K25+L25+M25+N25+P25</f>
        <v>121968</v>
      </c>
      <c r="R25" s="12" t="n">
        <f aca="false">IF($E25="Lease-koop",p_AfschrLK,IF($E25="Koop",G25,0))</f>
        <v>15</v>
      </c>
      <c r="S25" s="23" t="n">
        <f aca="false">IF(R25&gt;0,Q25/R25,0)</f>
        <v>8131.2</v>
      </c>
      <c r="T25" s="12" t="n">
        <f aca="false">IF($E25="Lease-koop",O25+1,IF($E25="Koop",I25+1,0))</f>
        <v>2039</v>
      </c>
      <c r="U25" s="23" t="n">
        <f aca="false">IF($E25="Lease-koop",p_Lease,0)</f>
        <v>0</v>
      </c>
      <c r="V25" s="24" t="n">
        <f aca="false">IF($A25="",0,N(INDEX('In gebruik'!$R:$R,ROW()+(-3))))</f>
        <v>0</v>
      </c>
      <c r="W25" s="24" t="n">
        <f aca="false">IF($A25="",0,N(INDEX('In gebruik'!$S:$S,ROW()+(-3))))</f>
        <v>0</v>
      </c>
      <c r="X25" s="21" t="n">
        <f aca="false">IF(W25&gt;0,N(INDEX('In gebruik'!$T:$T,ROW()+(-3))),0)</f>
        <v>0</v>
      </c>
      <c r="Y25" s="24" t="n">
        <f aca="false">IF(W25&gt;0,IF(N(INDEX('In gebruik'!$P:$P,ROW()+(-3)))&gt;0,N(INDEX('In gebruik'!$P:$P,ROW()+(-3))),p_Lease),0)</f>
        <v>0</v>
      </c>
      <c r="AA25" s="23" t="n">
        <f aca="false">IF($Q25+$W25=0,0,IF(AA$7=$I25,$K25+$L25+$M25+$P25,0)+IF(AA$7=$O25,$N25,0)+IF(AA$7=$X25,$W25,0))</f>
        <v>0</v>
      </c>
      <c r="AB25" s="23" t="n">
        <f aca="false">IF($Q25+$W25=0,0,IF(AB$7=$I25,$K25+$L25+$M25+$P25,0)+IF(AB$7=$O25,$N25,0)+IF(AB$7=$X25,$W25,0))</f>
        <v>0</v>
      </c>
      <c r="AC25" s="23" t="n">
        <f aca="false">IF($Q25+$W25=0,0,IF(AC$7=$I25,$K25+$L25+$M25+$P25,0)+IF(AC$7=$O25,$N25,0)+IF(AC$7=$X25,$W25,0))</f>
        <v>0</v>
      </c>
      <c r="AD25" s="23" t="n">
        <f aca="false">IF($Q25+$W25=0,0,IF(AD$7=$I25,$K25+$L25+$M25+$P25,0)+IF(AD$7=$O25,$N25,0)+IF(AD$7=$X25,$W25,0))</f>
        <v>0</v>
      </c>
      <c r="AE25" s="23" t="n">
        <f aca="false">IF($Q25+$W25=0,0,IF(AE$7=$I25,$K25+$L25+$M25+$P25,0)+IF(AE$7=$O25,$N25,0)+IF(AE$7=$X25,$W25,0))</f>
        <v>0</v>
      </c>
      <c r="AF25" s="23" t="n">
        <f aca="false">IF($Q25+$W25=0,0,IF(AF$7=$I25,$K25+$L25+$M25+$P25,0)+IF(AF$7=$O25,$N25,0)+IF(AF$7=$X25,$W25,0))</f>
        <v>0</v>
      </c>
      <c r="AG25" s="23" t="n">
        <f aca="false">IF($Q25+$W25=0,0,IF(AG$7=$I25,$K25+$L25+$M25+$P25,0)+IF(AG$7=$O25,$N25,0)+IF(AG$7=$X25,$W25,0))</f>
        <v>0</v>
      </c>
      <c r="AH25" s="23" t="n">
        <f aca="false">IF($Q25+$W25=0,0,IF(AH$7=$I25,$K25+$L25+$M25+$P25,0)+IF(AH$7=$O25,$N25,0)+IF(AH$7=$X25,$W25,0))</f>
        <v>0</v>
      </c>
      <c r="AJ25" s="23" t="n">
        <f aca="false">IF(AND($S25&gt;0,AJ$7&gt;=$T25,AJ$7&lt;$T25+$R25),$S25,0)+IF(AND($W25&gt;0,AJ$7&gt;$X25,AJ$7&lt;=$X25+p_AfschrLK),($V25+$W25)/p_AfschrLK,0)</f>
        <v>0</v>
      </c>
      <c r="AK25" s="23" t="n">
        <f aca="false">IF(AND($S25&gt;0,AK$7&gt;=$T25,AK$7&lt;$T25+$R25),$S25,0)+IF(AND($W25&gt;0,AK$7&gt;$X25,AK$7&lt;=$X25+p_AfschrLK),($V25+$W25)/p_AfschrLK,0)</f>
        <v>0</v>
      </c>
      <c r="AL25" s="23" t="n">
        <f aca="false">IF(AND($S25&gt;0,AL$7&gt;=$T25,AL$7&lt;$T25+$R25),$S25,0)+IF(AND($W25&gt;0,AL$7&gt;$X25,AL$7&lt;=$X25+p_AfschrLK),($V25+$W25)/p_AfschrLK,0)</f>
        <v>0</v>
      </c>
      <c r="AM25" s="23" t="n">
        <f aca="false">IF(AND($S25&gt;0,AM$7&gt;=$T25,AM$7&lt;$T25+$R25),$S25,0)+IF(AND($W25&gt;0,AM$7&gt;$X25,AM$7&lt;=$X25+p_AfschrLK),($V25+$W25)/p_AfschrLK,0)</f>
        <v>0</v>
      </c>
      <c r="AN25" s="23" t="n">
        <f aca="false">IF(AND($S25&gt;0,AN$7&gt;=$T25,AN$7&lt;$T25+$R25),$S25,0)+IF(AND($W25&gt;0,AN$7&gt;$X25,AN$7&lt;=$X25+p_AfschrLK),($V25+$W25)/p_AfschrLK,0)</f>
        <v>0</v>
      </c>
      <c r="AO25" s="23" t="n">
        <f aca="false">IF(AND($S25&gt;0,AO$7&gt;=$T25,AO$7&lt;$T25+$R25),$S25,0)+IF(AND($W25&gt;0,AO$7&gt;$X25,AO$7&lt;=$X25+p_AfschrLK),($V25+$W25)/p_AfschrLK,0)</f>
        <v>0</v>
      </c>
      <c r="AP25" s="23" t="n">
        <f aca="false">IF(AND($S25&gt;0,AP$7&gt;=$T25,AP$7&lt;$T25+$R25),$S25,0)+IF(AND($W25&gt;0,AP$7&gt;$X25,AP$7&lt;=$X25+p_AfschrLK),($V25+$W25)/p_AfschrLK,0)</f>
        <v>0</v>
      </c>
      <c r="AQ25" s="23" t="n">
        <f aca="false">IF(AND($S25&gt;0,AQ$7&gt;=$T25,AQ$7&lt;$T25+$R25),$S25,0)+IF(AND($W25&gt;0,AQ$7&gt;$X25,AQ$7&lt;=$X25+p_AfschrLK),($V25+$W25)/p_AfschrLK,0)</f>
        <v>0</v>
      </c>
    </row>
    <row r="26" customFormat="false" ht="15" hidden="false" customHeight="false" outlineLevel="0" collapsed="false">
      <c r="A26" s="20" t="str">
        <f aca="false">IF(INDEX('In gebruik'!$A:$A,ROW()+(-3))="","",INDEX('In gebruik'!$A:$A,ROW()+(-3)))</f>
        <v>V19</v>
      </c>
      <c r="B26" s="20" t="str">
        <f aca="false">IF($A26="","",INDEX('In gebruik'!$B:$B,ROW()+(-3))&amp;"")</f>
        <v>TBK-67-P</v>
      </c>
      <c r="C26" s="20" t="str">
        <f aca="false">IF($A26="","",INDEX('In gebruik'!$H:$H,ROW()+(-3))&amp;"")</f>
        <v>tractor</v>
      </c>
      <c r="D26" s="20" t="str">
        <f aca="false">IF($A26="","",INDEX('In gebruik'!$G:$G,ROW()+(-3))&amp;"")</f>
        <v>Sport</v>
      </c>
      <c r="E26" s="20" t="str">
        <f aca="false">IF($A26="","",INDEX('In gebruik'!$U:$U,ROW()+(-3))&amp;"")</f>
        <v>Koop</v>
      </c>
      <c r="F26" s="21" t="n">
        <f aca="false">IF($A26="",0,N(INDEX('In gebruik'!$J:$J,ROW()+(-3))))</f>
        <v>2012</v>
      </c>
      <c r="G26" s="21" t="n">
        <f aca="false">IF($A26="",0,N(INDEX('In gebruik'!$K:$K,ROW()+(-3))))</f>
        <v>15</v>
      </c>
      <c r="H26" s="12" t="n">
        <f aca="false">IF(G26&gt;0,F26+G26-1,0)</f>
        <v>2026</v>
      </c>
      <c r="I26" s="12" t="n">
        <f aca="false">IF($A26="",0,IF(N(INDEX('In gebruik'!$W:$W,ROW()+(-3)))&gt;0,N(INDEX('In gebruik'!$W:$W,ROW()+(-3))),IF(G26&gt;0,MAX(F26+G26,p_Start),0)))</f>
        <v>2027</v>
      </c>
      <c r="J26" s="22" t="str">
        <f aca="false">IF($A26="","",IF(AND(G26&gt;0,F26+G26&lt;p_Start),"Over levensduur",IF(AND(I26&gt;0,I26&lt;=p_Start+3),"In begrotingsperiode","")))</f>
        <v>In begrotingsperiode</v>
      </c>
      <c r="K26" s="23" t="n">
        <f aca="false">IF($E26="Lease-koop",p_Aanbet,0)</f>
        <v>0</v>
      </c>
      <c r="L26" s="23" t="n">
        <f aca="false">IF($E26="Lease-koop",p_Belet,0)</f>
        <v>0</v>
      </c>
      <c r="M26" s="23" t="n">
        <f aca="false">IF($E26="Lease-koop",p_Opbouw,0)</f>
        <v>0</v>
      </c>
      <c r="N26" s="23" t="n">
        <f aca="false">IF($E26="Lease-koop",p_Slot,0)</f>
        <v>0</v>
      </c>
      <c r="O26" s="12" t="n">
        <f aca="false">IF($E26="Lease-koop",I26+p_SlotJr,0)</f>
        <v>0</v>
      </c>
      <c r="P26" s="23" t="n">
        <f aca="false">IF($E26="Koop",N(INDEX('In gebruik'!$V:$V,ROW()+(-3))),0)</f>
        <v>80000</v>
      </c>
      <c r="Q26" s="23" t="n">
        <f aca="false">K26+L26+M26+N26+P26</f>
        <v>80000</v>
      </c>
      <c r="R26" s="12" t="n">
        <f aca="false">IF($E26="Lease-koop",p_AfschrLK,IF($E26="Koop",G26,0))</f>
        <v>15</v>
      </c>
      <c r="S26" s="23" t="n">
        <f aca="false">IF(R26&gt;0,Q26/R26,0)</f>
        <v>5333.33333333333</v>
      </c>
      <c r="T26" s="12" t="n">
        <f aca="false">IF($E26="Lease-koop",O26+1,IF($E26="Koop",I26+1,0))</f>
        <v>2028</v>
      </c>
      <c r="U26" s="23" t="n">
        <f aca="false">IF($E26="Lease-koop",p_Lease,0)</f>
        <v>0</v>
      </c>
      <c r="V26" s="24" t="n">
        <f aca="false">IF($A26="",0,N(INDEX('In gebruik'!$R:$R,ROW()+(-3))))</f>
        <v>0</v>
      </c>
      <c r="W26" s="24" t="n">
        <f aca="false">IF($A26="",0,N(INDEX('In gebruik'!$S:$S,ROW()+(-3))))</f>
        <v>0</v>
      </c>
      <c r="X26" s="21" t="n">
        <f aca="false">IF(W26&gt;0,N(INDEX('In gebruik'!$T:$T,ROW()+(-3))),0)</f>
        <v>0</v>
      </c>
      <c r="Y26" s="24" t="n">
        <f aca="false">IF(W26&gt;0,IF(N(INDEX('In gebruik'!$P:$P,ROW()+(-3)))&gt;0,N(INDEX('In gebruik'!$P:$P,ROW()+(-3))),p_Lease),0)</f>
        <v>0</v>
      </c>
      <c r="AA26" s="23" t="n">
        <f aca="false">IF($Q26+$W26=0,0,IF(AA$7=$I26,$K26+$L26+$M26+$P26,0)+IF(AA$7=$O26,$N26,0)+IF(AA$7=$X26,$W26,0))</f>
        <v>80000</v>
      </c>
      <c r="AB26" s="23" t="n">
        <f aca="false">IF($Q26+$W26=0,0,IF(AB$7=$I26,$K26+$L26+$M26+$P26,0)+IF(AB$7=$O26,$N26,0)+IF(AB$7=$X26,$W26,0))</f>
        <v>0</v>
      </c>
      <c r="AC26" s="23" t="n">
        <f aca="false">IF($Q26+$W26=0,0,IF(AC$7=$I26,$K26+$L26+$M26+$P26,0)+IF(AC$7=$O26,$N26,0)+IF(AC$7=$X26,$W26,0))</f>
        <v>0</v>
      </c>
      <c r="AD26" s="23" t="n">
        <f aca="false">IF($Q26+$W26=0,0,IF(AD$7=$I26,$K26+$L26+$M26+$P26,0)+IF(AD$7=$O26,$N26,0)+IF(AD$7=$X26,$W26,0))</f>
        <v>0</v>
      </c>
      <c r="AE26" s="23" t="n">
        <f aca="false">IF($Q26+$W26=0,0,IF(AE$7=$I26,$K26+$L26+$M26+$P26,0)+IF(AE$7=$O26,$N26,0)+IF(AE$7=$X26,$W26,0))</f>
        <v>0</v>
      </c>
      <c r="AF26" s="23" t="n">
        <f aca="false">IF($Q26+$W26=0,0,IF(AF$7=$I26,$K26+$L26+$M26+$P26,0)+IF(AF$7=$O26,$N26,0)+IF(AF$7=$X26,$W26,0))</f>
        <v>0</v>
      </c>
      <c r="AG26" s="23" t="n">
        <f aca="false">IF($Q26+$W26=0,0,IF(AG$7=$I26,$K26+$L26+$M26+$P26,0)+IF(AG$7=$O26,$N26,0)+IF(AG$7=$X26,$W26,0))</f>
        <v>0</v>
      </c>
      <c r="AH26" s="23" t="n">
        <f aca="false">IF($Q26+$W26=0,0,IF(AH$7=$I26,$K26+$L26+$M26+$P26,0)+IF(AH$7=$O26,$N26,0)+IF(AH$7=$X26,$W26,0))</f>
        <v>0</v>
      </c>
      <c r="AJ26" s="23" t="n">
        <f aca="false">IF(AND($S26&gt;0,AJ$7&gt;=$T26,AJ$7&lt;$T26+$R26),$S26,0)+IF(AND($W26&gt;0,AJ$7&gt;$X26,AJ$7&lt;=$X26+p_AfschrLK),($V26+$W26)/p_AfschrLK,0)</f>
        <v>0</v>
      </c>
      <c r="AK26" s="23" t="n">
        <f aca="false">IF(AND($S26&gt;0,AK$7&gt;=$T26,AK$7&lt;$T26+$R26),$S26,0)+IF(AND($W26&gt;0,AK$7&gt;$X26,AK$7&lt;=$X26+p_AfschrLK),($V26+$W26)/p_AfschrLK,0)</f>
        <v>5333.33333333333</v>
      </c>
      <c r="AL26" s="23" t="n">
        <f aca="false">IF(AND($S26&gt;0,AL$7&gt;=$T26,AL$7&lt;$T26+$R26),$S26,0)+IF(AND($W26&gt;0,AL$7&gt;$X26,AL$7&lt;=$X26+p_AfschrLK),($V26+$W26)/p_AfschrLK,0)</f>
        <v>5333.33333333333</v>
      </c>
      <c r="AM26" s="23" t="n">
        <f aca="false">IF(AND($S26&gt;0,AM$7&gt;=$T26,AM$7&lt;$T26+$R26),$S26,0)+IF(AND($W26&gt;0,AM$7&gt;$X26,AM$7&lt;=$X26+p_AfschrLK),($V26+$W26)/p_AfschrLK,0)</f>
        <v>5333.33333333333</v>
      </c>
      <c r="AN26" s="23" t="n">
        <f aca="false">IF(AND($S26&gt;0,AN$7&gt;=$T26,AN$7&lt;$T26+$R26),$S26,0)+IF(AND($W26&gt;0,AN$7&gt;$X26,AN$7&lt;=$X26+p_AfschrLK),($V26+$W26)/p_AfschrLK,0)</f>
        <v>5333.33333333333</v>
      </c>
      <c r="AO26" s="23" t="n">
        <f aca="false">IF(AND($S26&gt;0,AO$7&gt;=$T26,AO$7&lt;$T26+$R26),$S26,0)+IF(AND($W26&gt;0,AO$7&gt;$X26,AO$7&lt;=$X26+p_AfschrLK),($V26+$W26)/p_AfschrLK,0)</f>
        <v>5333.33333333333</v>
      </c>
      <c r="AP26" s="23" t="n">
        <f aca="false">IF(AND($S26&gt;0,AP$7&gt;=$T26,AP$7&lt;$T26+$R26),$S26,0)+IF(AND($W26&gt;0,AP$7&gt;$X26,AP$7&lt;=$X26+p_AfschrLK),($V26+$W26)/p_AfschrLK,0)</f>
        <v>5333.33333333333</v>
      </c>
      <c r="AQ26" s="23" t="n">
        <f aca="false">IF(AND($S26&gt;0,AQ$7&gt;=$T26,AQ$7&lt;$T26+$R26),$S26,0)+IF(AND($W26&gt;0,AQ$7&gt;$X26,AQ$7&lt;=$X26+p_AfschrLK),($V26+$W26)/p_AfschrLK,0)</f>
        <v>5333.33333333333</v>
      </c>
    </row>
    <row r="27" customFormat="false" ht="15" hidden="false" customHeight="false" outlineLevel="0" collapsed="false">
      <c r="A27" s="20" t="str">
        <f aca="false">IF(INDEX('In gebruik'!$A:$A,ROW()+(-3))="","",INDEX('In gebruik'!$A:$A,ROW()+(-3)))</f>
        <v>V20</v>
      </c>
      <c r="B27" s="20" t="str">
        <f aca="false">IF($A27="","",INDEX('In gebruik'!$B:$B,ROW()+(-3))&amp;"")</f>
        <v>TDT-42-X</v>
      </c>
      <c r="C27" s="20" t="str">
        <f aca="false">IF($A27="","",INDEX('In gebruik'!$H:$H,ROW()+(-3))&amp;"")</f>
        <v>tractor</v>
      </c>
      <c r="D27" s="20" t="str">
        <f aca="false">IF($A27="","",INDEX('In gebruik'!$G:$G,ROW()+(-3))&amp;"")</f>
        <v>Cultuur / Bossen</v>
      </c>
      <c r="E27" s="20" t="str">
        <f aca="false">IF($A27="","",INDEX('In gebruik'!$U:$U,ROW()+(-3))&amp;"")</f>
        <v>Koop</v>
      </c>
      <c r="F27" s="21" t="n">
        <f aca="false">IF($A27="",0,N(INDEX('In gebruik'!$J:$J,ROW()+(-3))))</f>
        <v>2009</v>
      </c>
      <c r="G27" s="21" t="n">
        <f aca="false">IF($A27="",0,N(INDEX('In gebruik'!$K:$K,ROW()+(-3))))</f>
        <v>20</v>
      </c>
      <c r="H27" s="12" t="n">
        <f aca="false">IF(G27&gt;0,F27+G27-1,0)</f>
        <v>2028</v>
      </c>
      <c r="I27" s="12" t="n">
        <f aca="false">IF($A27="",0,IF(N(INDEX('In gebruik'!$W:$W,ROW()+(-3)))&gt;0,N(INDEX('In gebruik'!$W:$W,ROW()+(-3))),IF(G27&gt;0,MAX(F27+G27,p_Start),0)))</f>
        <v>2029</v>
      </c>
      <c r="J27" s="22" t="str">
        <f aca="false">IF($A27="","",IF(AND(G27&gt;0,F27+G27&lt;p_Start),"Over levensduur",IF(AND(I27&gt;0,I27&lt;=p_Start+3),"In begrotingsperiode","")))</f>
        <v>In begrotingsperiode</v>
      </c>
      <c r="K27" s="23" t="n">
        <f aca="false">IF($E27="Lease-koop",p_Aanbet,0)</f>
        <v>0</v>
      </c>
      <c r="L27" s="23" t="n">
        <f aca="false">IF($E27="Lease-koop",p_Belet,0)</f>
        <v>0</v>
      </c>
      <c r="M27" s="23" t="n">
        <f aca="false">IF($E27="Lease-koop",p_Opbouw,0)</f>
        <v>0</v>
      </c>
      <c r="N27" s="23" t="n">
        <f aca="false">IF($E27="Lease-koop",p_Slot,0)</f>
        <v>0</v>
      </c>
      <c r="O27" s="12" t="n">
        <f aca="false">IF($E27="Lease-koop",I27+p_SlotJr,0)</f>
        <v>0</v>
      </c>
      <c r="P27" s="23" t="n">
        <f aca="false">IF($E27="Koop",N(INDEX('In gebruik'!$V:$V,ROW()+(-3))),0)</f>
        <v>100000</v>
      </c>
      <c r="Q27" s="23" t="n">
        <f aca="false">K27+L27+M27+N27+P27</f>
        <v>100000</v>
      </c>
      <c r="R27" s="12" t="n">
        <f aca="false">IF($E27="Lease-koop",p_AfschrLK,IF($E27="Koop",G27,0))</f>
        <v>20</v>
      </c>
      <c r="S27" s="23" t="n">
        <f aca="false">IF(R27&gt;0,Q27/R27,0)</f>
        <v>5000</v>
      </c>
      <c r="T27" s="12" t="n">
        <f aca="false">IF($E27="Lease-koop",O27+1,IF($E27="Koop",I27+1,0))</f>
        <v>2030</v>
      </c>
      <c r="U27" s="23" t="n">
        <f aca="false">IF($E27="Lease-koop",p_Lease,0)</f>
        <v>0</v>
      </c>
      <c r="V27" s="24" t="n">
        <f aca="false">IF($A27="",0,N(INDEX('In gebruik'!$R:$R,ROW()+(-3))))</f>
        <v>0</v>
      </c>
      <c r="W27" s="24" t="n">
        <f aca="false">IF($A27="",0,N(INDEX('In gebruik'!$S:$S,ROW()+(-3))))</f>
        <v>0</v>
      </c>
      <c r="X27" s="21" t="n">
        <f aca="false">IF(W27&gt;0,N(INDEX('In gebruik'!$T:$T,ROW()+(-3))),0)</f>
        <v>0</v>
      </c>
      <c r="Y27" s="24" t="n">
        <f aca="false">IF(W27&gt;0,IF(N(INDEX('In gebruik'!$P:$P,ROW()+(-3)))&gt;0,N(INDEX('In gebruik'!$P:$P,ROW()+(-3))),p_Lease),0)</f>
        <v>0</v>
      </c>
      <c r="AA27" s="23" t="n">
        <f aca="false">IF($Q27+$W27=0,0,IF(AA$7=$I27,$K27+$L27+$M27+$P27,0)+IF(AA$7=$O27,$N27,0)+IF(AA$7=$X27,$W27,0))</f>
        <v>0</v>
      </c>
      <c r="AB27" s="23" t="n">
        <f aca="false">IF($Q27+$W27=0,0,IF(AB$7=$I27,$K27+$L27+$M27+$P27,0)+IF(AB$7=$O27,$N27,0)+IF(AB$7=$X27,$W27,0))</f>
        <v>0</v>
      </c>
      <c r="AC27" s="23" t="n">
        <f aca="false">IF($Q27+$W27=0,0,IF(AC$7=$I27,$K27+$L27+$M27+$P27,0)+IF(AC$7=$O27,$N27,0)+IF(AC$7=$X27,$W27,0))</f>
        <v>100000</v>
      </c>
      <c r="AD27" s="23" t="n">
        <f aca="false">IF($Q27+$W27=0,0,IF(AD$7=$I27,$K27+$L27+$M27+$P27,0)+IF(AD$7=$O27,$N27,0)+IF(AD$7=$X27,$W27,0))</f>
        <v>0</v>
      </c>
      <c r="AE27" s="23" t="n">
        <f aca="false">IF($Q27+$W27=0,0,IF(AE$7=$I27,$K27+$L27+$M27+$P27,0)+IF(AE$7=$O27,$N27,0)+IF(AE$7=$X27,$W27,0))</f>
        <v>0</v>
      </c>
      <c r="AF27" s="23" t="n">
        <f aca="false">IF($Q27+$W27=0,0,IF(AF$7=$I27,$K27+$L27+$M27+$P27,0)+IF(AF$7=$O27,$N27,0)+IF(AF$7=$X27,$W27,0))</f>
        <v>0</v>
      </c>
      <c r="AG27" s="23" t="n">
        <f aca="false">IF($Q27+$W27=0,0,IF(AG$7=$I27,$K27+$L27+$M27+$P27,0)+IF(AG$7=$O27,$N27,0)+IF(AG$7=$X27,$W27,0))</f>
        <v>0</v>
      </c>
      <c r="AH27" s="23" t="n">
        <f aca="false">IF($Q27+$W27=0,0,IF(AH$7=$I27,$K27+$L27+$M27+$P27,0)+IF(AH$7=$O27,$N27,0)+IF(AH$7=$X27,$W27,0))</f>
        <v>0</v>
      </c>
      <c r="AJ27" s="23" t="n">
        <f aca="false">IF(AND($S27&gt;0,AJ$7&gt;=$T27,AJ$7&lt;$T27+$R27),$S27,0)+IF(AND($W27&gt;0,AJ$7&gt;$X27,AJ$7&lt;=$X27+p_AfschrLK),($V27+$W27)/p_AfschrLK,0)</f>
        <v>0</v>
      </c>
      <c r="AK27" s="23" t="n">
        <f aca="false">IF(AND($S27&gt;0,AK$7&gt;=$T27,AK$7&lt;$T27+$R27),$S27,0)+IF(AND($W27&gt;0,AK$7&gt;$X27,AK$7&lt;=$X27+p_AfschrLK),($V27+$W27)/p_AfschrLK,0)</f>
        <v>0</v>
      </c>
      <c r="AL27" s="23" t="n">
        <f aca="false">IF(AND($S27&gt;0,AL$7&gt;=$T27,AL$7&lt;$T27+$R27),$S27,0)+IF(AND($W27&gt;0,AL$7&gt;$X27,AL$7&lt;=$X27+p_AfschrLK),($V27+$W27)/p_AfschrLK,0)</f>
        <v>0</v>
      </c>
      <c r="AM27" s="23" t="n">
        <f aca="false">IF(AND($S27&gt;0,AM$7&gt;=$T27,AM$7&lt;$T27+$R27),$S27,0)+IF(AND($W27&gt;0,AM$7&gt;$X27,AM$7&lt;=$X27+p_AfschrLK),($V27+$W27)/p_AfschrLK,0)</f>
        <v>5000</v>
      </c>
      <c r="AN27" s="23" t="n">
        <f aca="false">IF(AND($S27&gt;0,AN$7&gt;=$T27,AN$7&lt;$T27+$R27),$S27,0)+IF(AND($W27&gt;0,AN$7&gt;$X27,AN$7&lt;=$X27+p_AfschrLK),($V27+$W27)/p_AfschrLK,0)</f>
        <v>5000</v>
      </c>
      <c r="AO27" s="23" t="n">
        <f aca="false">IF(AND($S27&gt;0,AO$7&gt;=$T27,AO$7&lt;$T27+$R27),$S27,0)+IF(AND($W27&gt;0,AO$7&gt;$X27,AO$7&lt;=$X27+p_AfschrLK),($V27+$W27)/p_AfschrLK,0)</f>
        <v>5000</v>
      </c>
      <c r="AP27" s="23" t="n">
        <f aca="false">IF(AND($S27&gt;0,AP$7&gt;=$T27,AP$7&lt;$T27+$R27),$S27,0)+IF(AND($W27&gt;0,AP$7&gt;$X27,AP$7&lt;=$X27+p_AfschrLK),($V27+$W27)/p_AfschrLK,0)</f>
        <v>5000</v>
      </c>
      <c r="AQ27" s="23" t="n">
        <f aca="false">IF(AND($S27&gt;0,AQ$7&gt;=$T27,AQ$7&lt;$T27+$R27),$S27,0)+IF(AND($W27&gt;0,AQ$7&gt;$X27,AQ$7&lt;=$X27+p_AfschrLK),($V27+$W27)/p_AfschrLK,0)</f>
        <v>5000</v>
      </c>
    </row>
    <row r="28" customFormat="false" ht="15" hidden="false" customHeight="false" outlineLevel="0" collapsed="false">
      <c r="A28" s="20" t="str">
        <f aca="false">IF(INDEX('In gebruik'!$A:$A,ROW()+(-3))="","",INDEX('In gebruik'!$A:$A,ROW()+(-3)))</f>
        <v>V21</v>
      </c>
      <c r="B28" s="20" t="str">
        <f aca="false">IF($A28="","",INDEX('In gebruik'!$B:$B,ROW()+(-3))&amp;"")</f>
        <v>T-80-GGN</v>
      </c>
      <c r="C28" s="20" t="str">
        <f aca="false">IF($A28="","",INDEX('In gebruik'!$H:$H,ROW()+(-3))&amp;"")</f>
        <v>tractor</v>
      </c>
      <c r="D28" s="20" t="str">
        <f aca="false">IF($A28="","",INDEX('In gebruik'!$G:$G,ROW()+(-3))&amp;"")</f>
        <v>Sport</v>
      </c>
      <c r="E28" s="20" t="str">
        <f aca="false">IF($A28="","",INDEX('In gebruik'!$U:$U,ROW()+(-3))&amp;"")</f>
        <v>Koop</v>
      </c>
      <c r="F28" s="21" t="n">
        <f aca="false">IF($A28="",0,N(INDEX('In gebruik'!$J:$J,ROW()+(-3))))</f>
        <v>2024</v>
      </c>
      <c r="G28" s="21" t="n">
        <f aca="false">IF($A28="",0,N(INDEX('In gebruik'!$K:$K,ROW()+(-3))))</f>
        <v>10</v>
      </c>
      <c r="H28" s="12" t="n">
        <f aca="false">IF(G28&gt;0,F28+G28-1,0)</f>
        <v>2033</v>
      </c>
      <c r="I28" s="12" t="n">
        <f aca="false">IF($A28="",0,IF(N(INDEX('In gebruik'!$W:$W,ROW()+(-3)))&gt;0,N(INDEX('In gebruik'!$W:$W,ROW()+(-3))),IF(G28&gt;0,MAX(F28+G28,p_Start),0)))</f>
        <v>2034</v>
      </c>
      <c r="J28" s="22" t="str">
        <f aca="false">IF($A28="","",IF(AND(G28&gt;0,F28+G28&lt;p_Start),"Over levensduur",IF(AND(I28&gt;0,I28&lt;=p_Start+3),"In begrotingsperiode","")))</f>
        <v/>
      </c>
      <c r="K28" s="23" t="n">
        <f aca="false">IF($E28="Lease-koop",p_Aanbet,0)</f>
        <v>0</v>
      </c>
      <c r="L28" s="23" t="n">
        <f aca="false">IF($E28="Lease-koop",p_Belet,0)</f>
        <v>0</v>
      </c>
      <c r="M28" s="23" t="n">
        <f aca="false">IF($E28="Lease-koop",p_Opbouw,0)</f>
        <v>0</v>
      </c>
      <c r="N28" s="23" t="n">
        <f aca="false">IF($E28="Lease-koop",p_Slot,0)</f>
        <v>0</v>
      </c>
      <c r="O28" s="12" t="n">
        <f aca="false">IF($E28="Lease-koop",I28+p_SlotJr,0)</f>
        <v>0</v>
      </c>
      <c r="P28" s="23" t="n">
        <f aca="false">IF($E28="Koop",N(INDEX('In gebruik'!$V:$V,ROW()+(-3))),0)</f>
        <v>51100</v>
      </c>
      <c r="Q28" s="23" t="n">
        <f aca="false">K28+L28+M28+N28+P28</f>
        <v>51100</v>
      </c>
      <c r="R28" s="12" t="n">
        <f aca="false">IF($E28="Lease-koop",p_AfschrLK,IF($E28="Koop",G28,0))</f>
        <v>10</v>
      </c>
      <c r="S28" s="23" t="n">
        <f aca="false">IF(R28&gt;0,Q28/R28,0)</f>
        <v>5110</v>
      </c>
      <c r="T28" s="12" t="n">
        <f aca="false">IF($E28="Lease-koop",O28+1,IF($E28="Koop",I28+1,0))</f>
        <v>2035</v>
      </c>
      <c r="U28" s="23" t="n">
        <f aca="false">IF($E28="Lease-koop",p_Lease,0)</f>
        <v>0</v>
      </c>
      <c r="V28" s="24" t="n">
        <f aca="false">IF($A28="",0,N(INDEX('In gebruik'!$R:$R,ROW()+(-3))))</f>
        <v>0</v>
      </c>
      <c r="W28" s="24" t="n">
        <f aca="false">IF($A28="",0,N(INDEX('In gebruik'!$S:$S,ROW()+(-3))))</f>
        <v>0</v>
      </c>
      <c r="X28" s="21" t="n">
        <f aca="false">IF(W28&gt;0,N(INDEX('In gebruik'!$T:$T,ROW()+(-3))),0)</f>
        <v>0</v>
      </c>
      <c r="Y28" s="24" t="n">
        <f aca="false">IF(W28&gt;0,IF(N(INDEX('In gebruik'!$P:$P,ROW()+(-3)))&gt;0,N(INDEX('In gebruik'!$P:$P,ROW()+(-3))),p_Lease),0)</f>
        <v>0</v>
      </c>
      <c r="AA28" s="23" t="n">
        <f aca="false">IF($Q28+$W28=0,0,IF(AA$7=$I28,$K28+$L28+$M28+$P28,0)+IF(AA$7=$O28,$N28,0)+IF(AA$7=$X28,$W28,0))</f>
        <v>0</v>
      </c>
      <c r="AB28" s="23" t="n">
        <f aca="false">IF($Q28+$W28=0,0,IF(AB$7=$I28,$K28+$L28+$M28+$P28,0)+IF(AB$7=$O28,$N28,0)+IF(AB$7=$X28,$W28,0))</f>
        <v>0</v>
      </c>
      <c r="AC28" s="23" t="n">
        <f aca="false">IF($Q28+$W28=0,0,IF(AC$7=$I28,$K28+$L28+$M28+$P28,0)+IF(AC$7=$O28,$N28,0)+IF(AC$7=$X28,$W28,0))</f>
        <v>0</v>
      </c>
      <c r="AD28" s="23" t="n">
        <f aca="false">IF($Q28+$W28=0,0,IF(AD$7=$I28,$K28+$L28+$M28+$P28,0)+IF(AD$7=$O28,$N28,0)+IF(AD$7=$X28,$W28,0))</f>
        <v>0</v>
      </c>
      <c r="AE28" s="23" t="n">
        <f aca="false">IF($Q28+$W28=0,0,IF(AE$7=$I28,$K28+$L28+$M28+$P28,0)+IF(AE$7=$O28,$N28,0)+IF(AE$7=$X28,$W28,0))</f>
        <v>0</v>
      </c>
      <c r="AF28" s="23" t="n">
        <f aca="false">IF($Q28+$W28=0,0,IF(AF$7=$I28,$K28+$L28+$M28+$P28,0)+IF(AF$7=$O28,$N28,0)+IF(AF$7=$X28,$W28,0))</f>
        <v>0</v>
      </c>
      <c r="AG28" s="23" t="n">
        <f aca="false">IF($Q28+$W28=0,0,IF(AG$7=$I28,$K28+$L28+$M28+$P28,0)+IF(AG$7=$O28,$N28,0)+IF(AG$7=$X28,$W28,0))</f>
        <v>0</v>
      </c>
      <c r="AH28" s="23" t="n">
        <f aca="false">IF($Q28+$W28=0,0,IF(AH$7=$I28,$K28+$L28+$M28+$P28,0)+IF(AH$7=$O28,$N28,0)+IF(AH$7=$X28,$W28,0))</f>
        <v>51100</v>
      </c>
      <c r="AJ28" s="23" t="n">
        <f aca="false">IF(AND($S28&gt;0,AJ$7&gt;=$T28,AJ$7&lt;$T28+$R28),$S28,0)+IF(AND($W28&gt;0,AJ$7&gt;$X28,AJ$7&lt;=$X28+p_AfschrLK),($V28+$W28)/p_AfschrLK,0)</f>
        <v>0</v>
      </c>
      <c r="AK28" s="23" t="n">
        <f aca="false">IF(AND($S28&gt;0,AK$7&gt;=$T28,AK$7&lt;$T28+$R28),$S28,0)+IF(AND($W28&gt;0,AK$7&gt;$X28,AK$7&lt;=$X28+p_AfschrLK),($V28+$W28)/p_AfschrLK,0)</f>
        <v>0</v>
      </c>
      <c r="AL28" s="23" t="n">
        <f aca="false">IF(AND($S28&gt;0,AL$7&gt;=$T28,AL$7&lt;$T28+$R28),$S28,0)+IF(AND($W28&gt;0,AL$7&gt;$X28,AL$7&lt;=$X28+p_AfschrLK),($V28+$W28)/p_AfschrLK,0)</f>
        <v>0</v>
      </c>
      <c r="AM28" s="23" t="n">
        <f aca="false">IF(AND($S28&gt;0,AM$7&gt;=$T28,AM$7&lt;$T28+$R28),$S28,0)+IF(AND($W28&gt;0,AM$7&gt;$X28,AM$7&lt;=$X28+p_AfschrLK),($V28+$W28)/p_AfschrLK,0)</f>
        <v>0</v>
      </c>
      <c r="AN28" s="23" t="n">
        <f aca="false">IF(AND($S28&gt;0,AN$7&gt;=$T28,AN$7&lt;$T28+$R28),$S28,0)+IF(AND($W28&gt;0,AN$7&gt;$X28,AN$7&lt;=$X28+p_AfschrLK),($V28+$W28)/p_AfschrLK,0)</f>
        <v>0</v>
      </c>
      <c r="AO28" s="23" t="n">
        <f aca="false">IF(AND($S28&gt;0,AO$7&gt;=$T28,AO$7&lt;$T28+$R28),$S28,0)+IF(AND($W28&gt;0,AO$7&gt;$X28,AO$7&lt;=$X28+p_AfschrLK),($V28+$W28)/p_AfschrLK,0)</f>
        <v>0</v>
      </c>
      <c r="AP28" s="23" t="n">
        <f aca="false">IF(AND($S28&gt;0,AP$7&gt;=$T28,AP$7&lt;$T28+$R28),$S28,0)+IF(AND($W28&gt;0,AP$7&gt;$X28,AP$7&lt;=$X28+p_AfschrLK),($V28+$W28)/p_AfschrLK,0)</f>
        <v>0</v>
      </c>
      <c r="AQ28" s="23" t="n">
        <f aca="false">IF(AND($S28&gt;0,AQ$7&gt;=$T28,AQ$7&lt;$T28+$R28),$S28,0)+IF(AND($W28&gt;0,AQ$7&gt;$X28,AQ$7&lt;=$X28+p_AfschrLK),($V28+$W28)/p_AfschrLK,0)</f>
        <v>0</v>
      </c>
    </row>
    <row r="29" customFormat="false" ht="15" hidden="false" customHeight="false" outlineLevel="0" collapsed="false">
      <c r="A29" s="20" t="str">
        <f aca="false">IF(INDEX('In gebruik'!$A:$A,ROW()+(-3))="","",INDEX('In gebruik'!$A:$A,ROW()+(-3)))</f>
        <v>V24</v>
      </c>
      <c r="B29" s="20" t="str">
        <f aca="false">IF($A29="","",INDEX('In gebruik'!$B:$B,ROW()+(-3))&amp;"")</f>
        <v>geen kenteken</v>
      </c>
      <c r="C29" s="20" t="str">
        <f aca="false">IF($A29="","",INDEX('In gebruik'!$H:$H,ROW()+(-3))&amp;"")</f>
        <v>vorkheftruck</v>
      </c>
      <c r="D29" s="20" t="str">
        <f aca="false">IF($A29="","",INDEX('In gebruik'!$G:$G,ROW()+(-3))&amp;"")</f>
        <v>Werf</v>
      </c>
      <c r="E29" s="20" t="str">
        <f aca="false">IF($A29="","",INDEX('In gebruik'!$U:$U,ROW()+(-3))&amp;"")</f>
        <v>Koop</v>
      </c>
      <c r="F29" s="21" t="n">
        <f aca="false">IF($A29="",0,N(INDEX('In gebruik'!$J:$J,ROW()+(-3))))</f>
        <v>2023</v>
      </c>
      <c r="G29" s="21" t="n">
        <f aca="false">IF($A29="",0,N(INDEX('In gebruik'!$K:$K,ROW()+(-3))))</f>
        <v>10</v>
      </c>
      <c r="H29" s="12" t="n">
        <f aca="false">IF(G29&gt;0,F29+G29-1,0)</f>
        <v>2032</v>
      </c>
      <c r="I29" s="12" t="n">
        <f aca="false">IF($A29="",0,IF(N(INDEX('In gebruik'!$W:$W,ROW()+(-3)))&gt;0,N(INDEX('In gebruik'!$W:$W,ROW()+(-3))),IF(G29&gt;0,MAX(F29+G29,p_Start),0)))</f>
        <v>2033</v>
      </c>
      <c r="J29" s="22" t="str">
        <f aca="false">IF($A29="","",IF(AND(G29&gt;0,F29+G29&lt;p_Start),"Over levensduur",IF(AND(I29&gt;0,I29&lt;=p_Start+3),"In begrotingsperiode","")))</f>
        <v/>
      </c>
      <c r="K29" s="23" t="n">
        <f aca="false">IF($E29="Lease-koop",p_Aanbet,0)</f>
        <v>0</v>
      </c>
      <c r="L29" s="23" t="n">
        <f aca="false">IF($E29="Lease-koop",p_Belet,0)</f>
        <v>0</v>
      </c>
      <c r="M29" s="23" t="n">
        <f aca="false">IF($E29="Lease-koop",p_Opbouw,0)</f>
        <v>0</v>
      </c>
      <c r="N29" s="23" t="n">
        <f aca="false">IF($E29="Lease-koop",p_Slot,0)</f>
        <v>0</v>
      </c>
      <c r="O29" s="12" t="n">
        <f aca="false">IF($E29="Lease-koop",I29+p_SlotJr,0)</f>
        <v>0</v>
      </c>
      <c r="P29" s="23" t="n">
        <f aca="false">IF($E29="Koop",N(INDEX('In gebruik'!$V:$V,ROW()+(-3))),0)</f>
        <v>19000</v>
      </c>
      <c r="Q29" s="23" t="n">
        <f aca="false">K29+L29+M29+N29+P29</f>
        <v>19000</v>
      </c>
      <c r="R29" s="12" t="n">
        <f aca="false">IF($E29="Lease-koop",p_AfschrLK,IF($E29="Koop",G29,0))</f>
        <v>10</v>
      </c>
      <c r="S29" s="23" t="n">
        <f aca="false">IF(R29&gt;0,Q29/R29,0)</f>
        <v>1900</v>
      </c>
      <c r="T29" s="12" t="n">
        <f aca="false">IF($E29="Lease-koop",O29+1,IF($E29="Koop",I29+1,0))</f>
        <v>2034</v>
      </c>
      <c r="U29" s="23" t="n">
        <f aca="false">IF($E29="Lease-koop",p_Lease,0)</f>
        <v>0</v>
      </c>
      <c r="V29" s="24" t="n">
        <f aca="false">IF($A29="",0,N(INDEX('In gebruik'!$R:$R,ROW()+(-3))))</f>
        <v>0</v>
      </c>
      <c r="W29" s="24" t="n">
        <f aca="false">IF($A29="",0,N(INDEX('In gebruik'!$S:$S,ROW()+(-3))))</f>
        <v>0</v>
      </c>
      <c r="X29" s="21" t="n">
        <f aca="false">IF(W29&gt;0,N(INDEX('In gebruik'!$T:$T,ROW()+(-3))),0)</f>
        <v>0</v>
      </c>
      <c r="Y29" s="24" t="n">
        <f aca="false">IF(W29&gt;0,IF(N(INDEX('In gebruik'!$P:$P,ROW()+(-3)))&gt;0,N(INDEX('In gebruik'!$P:$P,ROW()+(-3))),p_Lease),0)</f>
        <v>0</v>
      </c>
      <c r="AA29" s="23" t="n">
        <f aca="false">IF($Q29+$W29=0,0,IF(AA$7=$I29,$K29+$L29+$M29+$P29,0)+IF(AA$7=$O29,$N29,0)+IF(AA$7=$X29,$W29,0))</f>
        <v>0</v>
      </c>
      <c r="AB29" s="23" t="n">
        <f aca="false">IF($Q29+$W29=0,0,IF(AB$7=$I29,$K29+$L29+$M29+$P29,0)+IF(AB$7=$O29,$N29,0)+IF(AB$7=$X29,$W29,0))</f>
        <v>0</v>
      </c>
      <c r="AC29" s="23" t="n">
        <f aca="false">IF($Q29+$W29=0,0,IF(AC$7=$I29,$K29+$L29+$M29+$P29,0)+IF(AC$7=$O29,$N29,0)+IF(AC$7=$X29,$W29,0))</f>
        <v>0</v>
      </c>
      <c r="AD29" s="23" t="n">
        <f aca="false">IF($Q29+$W29=0,0,IF(AD$7=$I29,$K29+$L29+$M29+$P29,0)+IF(AD$7=$O29,$N29,0)+IF(AD$7=$X29,$W29,0))</f>
        <v>0</v>
      </c>
      <c r="AE29" s="23" t="n">
        <f aca="false">IF($Q29+$W29=0,0,IF(AE$7=$I29,$K29+$L29+$M29+$P29,0)+IF(AE$7=$O29,$N29,0)+IF(AE$7=$X29,$W29,0))</f>
        <v>0</v>
      </c>
      <c r="AF29" s="23" t="n">
        <f aca="false">IF($Q29+$W29=0,0,IF(AF$7=$I29,$K29+$L29+$M29+$P29,0)+IF(AF$7=$O29,$N29,0)+IF(AF$7=$X29,$W29,0))</f>
        <v>0</v>
      </c>
      <c r="AG29" s="23" t="n">
        <f aca="false">IF($Q29+$W29=0,0,IF(AG$7=$I29,$K29+$L29+$M29+$P29,0)+IF(AG$7=$O29,$N29,0)+IF(AG$7=$X29,$W29,0))</f>
        <v>19000</v>
      </c>
      <c r="AH29" s="23" t="n">
        <f aca="false">IF($Q29+$W29=0,0,IF(AH$7=$I29,$K29+$L29+$M29+$P29,0)+IF(AH$7=$O29,$N29,0)+IF(AH$7=$X29,$W29,0))</f>
        <v>0</v>
      </c>
      <c r="AJ29" s="23" t="n">
        <f aca="false">IF(AND($S29&gt;0,AJ$7&gt;=$T29,AJ$7&lt;$T29+$R29),$S29,0)+IF(AND($W29&gt;0,AJ$7&gt;$X29,AJ$7&lt;=$X29+p_AfschrLK),($V29+$W29)/p_AfschrLK,0)</f>
        <v>0</v>
      </c>
      <c r="AK29" s="23" t="n">
        <f aca="false">IF(AND($S29&gt;0,AK$7&gt;=$T29,AK$7&lt;$T29+$R29),$S29,0)+IF(AND($W29&gt;0,AK$7&gt;$X29,AK$7&lt;=$X29+p_AfschrLK),($V29+$W29)/p_AfschrLK,0)</f>
        <v>0</v>
      </c>
      <c r="AL29" s="23" t="n">
        <f aca="false">IF(AND($S29&gt;0,AL$7&gt;=$T29,AL$7&lt;$T29+$R29),$S29,0)+IF(AND($W29&gt;0,AL$7&gt;$X29,AL$7&lt;=$X29+p_AfschrLK),($V29+$W29)/p_AfschrLK,0)</f>
        <v>0</v>
      </c>
      <c r="AM29" s="23" t="n">
        <f aca="false">IF(AND($S29&gt;0,AM$7&gt;=$T29,AM$7&lt;$T29+$R29),$S29,0)+IF(AND($W29&gt;0,AM$7&gt;$X29,AM$7&lt;=$X29+p_AfschrLK),($V29+$W29)/p_AfschrLK,0)</f>
        <v>0</v>
      </c>
      <c r="AN29" s="23" t="n">
        <f aca="false">IF(AND($S29&gt;0,AN$7&gt;=$T29,AN$7&lt;$T29+$R29),$S29,0)+IF(AND($W29&gt;0,AN$7&gt;$X29,AN$7&lt;=$X29+p_AfschrLK),($V29+$W29)/p_AfschrLK,0)</f>
        <v>0</v>
      </c>
      <c r="AO29" s="23" t="n">
        <f aca="false">IF(AND($S29&gt;0,AO$7&gt;=$T29,AO$7&lt;$T29+$R29),$S29,0)+IF(AND($W29&gt;0,AO$7&gt;$X29,AO$7&lt;=$X29+p_AfschrLK),($V29+$W29)/p_AfschrLK,0)</f>
        <v>0</v>
      </c>
      <c r="AP29" s="23" t="n">
        <f aca="false">IF(AND($S29&gt;0,AP$7&gt;=$T29,AP$7&lt;$T29+$R29),$S29,0)+IF(AND($W29&gt;0,AP$7&gt;$X29,AP$7&lt;=$X29+p_AfschrLK),($V29+$W29)/p_AfschrLK,0)</f>
        <v>0</v>
      </c>
      <c r="AQ29" s="23" t="n">
        <f aca="false">IF(AND($S29&gt;0,AQ$7&gt;=$T29,AQ$7&lt;$T29+$R29),$S29,0)+IF(AND($W29&gt;0,AQ$7&gt;$X29,AQ$7&lt;=$X29+p_AfschrLK),($V29+$W29)/p_AfschrLK,0)</f>
        <v>1900</v>
      </c>
    </row>
    <row r="30" customFormat="false" ht="15" hidden="false" customHeight="false" outlineLevel="0" collapsed="false">
      <c r="A30" s="20" t="str">
        <f aca="false">IF(INDEX('In gebruik'!$A:$A,ROW()+(-3))="","",INDEX('In gebruik'!$A:$A,ROW()+(-3)))</f>
        <v>V25</v>
      </c>
      <c r="B30" s="20" t="str">
        <f aca="false">IF($A30="","",INDEX('In gebruik'!$B:$B,ROW()+(-3))&amp;"")</f>
        <v>geen kenteken</v>
      </c>
      <c r="C30" s="20" t="str">
        <f aca="false">IF($A30="","",INDEX('In gebruik'!$H:$H,ROW()+(-3))&amp;"")</f>
        <v>vorkheftruck</v>
      </c>
      <c r="D30" s="20" t="str">
        <f aca="false">IF($A30="","",INDEX('In gebruik'!$G:$G,ROW()+(-3))&amp;"")</f>
        <v>Werf</v>
      </c>
      <c r="E30" s="20" t="str">
        <f aca="false">IF($A30="","",INDEX('In gebruik'!$U:$U,ROW()+(-3))&amp;"")</f>
        <v>Koop</v>
      </c>
      <c r="F30" s="21" t="n">
        <f aca="false">IF($A30="",0,N(INDEX('In gebruik'!$J:$J,ROW()+(-3))))</f>
        <v>2007</v>
      </c>
      <c r="G30" s="21" t="n">
        <f aca="false">IF($A30="",0,N(INDEX('In gebruik'!$K:$K,ROW()+(-3))))</f>
        <v>8</v>
      </c>
      <c r="H30" s="12" t="n">
        <f aca="false">IF(G30&gt;0,F30+G30-1,0)</f>
        <v>2014</v>
      </c>
      <c r="I30" s="12" t="n">
        <f aca="false">IF($A30="",0,IF(N(INDEX('In gebruik'!$W:$W,ROW()+(-3)))&gt;0,N(INDEX('In gebruik'!$W:$W,ROW()+(-3))),IF(G30&gt;0,MAX(F30+G30,p_Start),0)))</f>
        <v>2028</v>
      </c>
      <c r="J30" s="22" t="str">
        <f aca="false">IF($A30="","",IF(AND(G30&gt;0,F30+G30&lt;p_Start),"Over levensduur",IF(AND(I30&gt;0,I30&lt;=p_Start+3),"In begrotingsperiode","")))</f>
        <v>Over levensduur</v>
      </c>
      <c r="K30" s="23" t="n">
        <f aca="false">IF($E30="Lease-koop",p_Aanbet,0)</f>
        <v>0</v>
      </c>
      <c r="L30" s="23" t="n">
        <f aca="false">IF($E30="Lease-koop",p_Belet,0)</f>
        <v>0</v>
      </c>
      <c r="M30" s="23" t="n">
        <f aca="false">IF($E30="Lease-koop",p_Opbouw,0)</f>
        <v>0</v>
      </c>
      <c r="N30" s="23" t="n">
        <f aca="false">IF($E30="Lease-koop",p_Slot,0)</f>
        <v>0</v>
      </c>
      <c r="O30" s="12" t="n">
        <f aca="false">IF($E30="Lease-koop",I30+p_SlotJr,0)</f>
        <v>0</v>
      </c>
      <c r="P30" s="23" t="n">
        <f aca="false">IF($E30="Koop",N(INDEX('In gebruik'!$V:$V,ROW()+(-3))),0)</f>
        <v>50000</v>
      </c>
      <c r="Q30" s="23" t="n">
        <f aca="false">K30+L30+M30+N30+P30</f>
        <v>50000</v>
      </c>
      <c r="R30" s="12" t="n">
        <f aca="false">IF($E30="Lease-koop",p_AfschrLK,IF($E30="Koop",G30,0))</f>
        <v>8</v>
      </c>
      <c r="S30" s="23" t="n">
        <f aca="false">IF(R30&gt;0,Q30/R30,0)</f>
        <v>6250</v>
      </c>
      <c r="T30" s="12" t="n">
        <f aca="false">IF($E30="Lease-koop",O30+1,IF($E30="Koop",I30+1,0))</f>
        <v>2029</v>
      </c>
      <c r="U30" s="23" t="n">
        <f aca="false">IF($E30="Lease-koop",p_Lease,0)</f>
        <v>0</v>
      </c>
      <c r="V30" s="24" t="n">
        <f aca="false">IF($A30="",0,N(INDEX('In gebruik'!$R:$R,ROW()+(-3))))</f>
        <v>0</v>
      </c>
      <c r="W30" s="24" t="n">
        <f aca="false">IF($A30="",0,N(INDEX('In gebruik'!$S:$S,ROW()+(-3))))</f>
        <v>0</v>
      </c>
      <c r="X30" s="21" t="n">
        <f aca="false">IF(W30&gt;0,N(INDEX('In gebruik'!$T:$T,ROW()+(-3))),0)</f>
        <v>0</v>
      </c>
      <c r="Y30" s="24" t="n">
        <f aca="false">IF(W30&gt;0,IF(N(INDEX('In gebruik'!$P:$P,ROW()+(-3)))&gt;0,N(INDEX('In gebruik'!$P:$P,ROW()+(-3))),p_Lease),0)</f>
        <v>0</v>
      </c>
      <c r="AA30" s="23" t="n">
        <f aca="false">IF($Q30+$W30=0,0,IF(AA$7=$I30,$K30+$L30+$M30+$P30,0)+IF(AA$7=$O30,$N30,0)+IF(AA$7=$X30,$W30,0))</f>
        <v>0</v>
      </c>
      <c r="AB30" s="23" t="n">
        <f aca="false">IF($Q30+$W30=0,0,IF(AB$7=$I30,$K30+$L30+$M30+$P30,0)+IF(AB$7=$O30,$N30,0)+IF(AB$7=$X30,$W30,0))</f>
        <v>50000</v>
      </c>
      <c r="AC30" s="23" t="n">
        <f aca="false">IF($Q30+$W30=0,0,IF(AC$7=$I30,$K30+$L30+$M30+$P30,0)+IF(AC$7=$O30,$N30,0)+IF(AC$7=$X30,$W30,0))</f>
        <v>0</v>
      </c>
      <c r="AD30" s="23" t="n">
        <f aca="false">IF($Q30+$W30=0,0,IF(AD$7=$I30,$K30+$L30+$M30+$P30,0)+IF(AD$7=$O30,$N30,0)+IF(AD$7=$X30,$W30,0))</f>
        <v>0</v>
      </c>
      <c r="AE30" s="23" t="n">
        <f aca="false">IF($Q30+$W30=0,0,IF(AE$7=$I30,$K30+$L30+$M30+$P30,0)+IF(AE$7=$O30,$N30,0)+IF(AE$7=$X30,$W30,0))</f>
        <v>0</v>
      </c>
      <c r="AF30" s="23" t="n">
        <f aca="false">IF($Q30+$W30=0,0,IF(AF$7=$I30,$K30+$L30+$M30+$P30,0)+IF(AF$7=$O30,$N30,0)+IF(AF$7=$X30,$W30,0))</f>
        <v>0</v>
      </c>
      <c r="AG30" s="23" t="n">
        <f aca="false">IF($Q30+$W30=0,0,IF(AG$7=$I30,$K30+$L30+$M30+$P30,0)+IF(AG$7=$O30,$N30,0)+IF(AG$7=$X30,$W30,0))</f>
        <v>0</v>
      </c>
      <c r="AH30" s="23" t="n">
        <f aca="false">IF($Q30+$W30=0,0,IF(AH$7=$I30,$K30+$L30+$M30+$P30,0)+IF(AH$7=$O30,$N30,0)+IF(AH$7=$X30,$W30,0))</f>
        <v>0</v>
      </c>
      <c r="AJ30" s="23" t="n">
        <f aca="false">IF(AND($S30&gt;0,AJ$7&gt;=$T30,AJ$7&lt;$T30+$R30),$S30,0)+IF(AND($W30&gt;0,AJ$7&gt;$X30,AJ$7&lt;=$X30+p_AfschrLK),($V30+$W30)/p_AfschrLK,0)</f>
        <v>0</v>
      </c>
      <c r="AK30" s="23" t="n">
        <f aca="false">IF(AND($S30&gt;0,AK$7&gt;=$T30,AK$7&lt;$T30+$R30),$S30,0)+IF(AND($W30&gt;0,AK$7&gt;$X30,AK$7&lt;=$X30+p_AfschrLK),($V30+$W30)/p_AfschrLK,0)</f>
        <v>0</v>
      </c>
      <c r="AL30" s="23" t="n">
        <f aca="false">IF(AND($S30&gt;0,AL$7&gt;=$T30,AL$7&lt;$T30+$R30),$S30,0)+IF(AND($W30&gt;0,AL$7&gt;$X30,AL$7&lt;=$X30+p_AfschrLK),($V30+$W30)/p_AfschrLK,0)</f>
        <v>6250</v>
      </c>
      <c r="AM30" s="23" t="n">
        <f aca="false">IF(AND($S30&gt;0,AM$7&gt;=$T30,AM$7&lt;$T30+$R30),$S30,0)+IF(AND($W30&gt;0,AM$7&gt;$X30,AM$7&lt;=$X30+p_AfschrLK),($V30+$W30)/p_AfschrLK,0)</f>
        <v>6250</v>
      </c>
      <c r="AN30" s="23" t="n">
        <f aca="false">IF(AND($S30&gt;0,AN$7&gt;=$T30,AN$7&lt;$T30+$R30),$S30,0)+IF(AND($W30&gt;0,AN$7&gt;$X30,AN$7&lt;=$X30+p_AfschrLK),($V30+$W30)/p_AfschrLK,0)</f>
        <v>6250</v>
      </c>
      <c r="AO30" s="23" t="n">
        <f aca="false">IF(AND($S30&gt;0,AO$7&gt;=$T30,AO$7&lt;$T30+$R30),$S30,0)+IF(AND($W30&gt;0,AO$7&gt;$X30,AO$7&lt;=$X30+p_AfschrLK),($V30+$W30)/p_AfschrLK,0)</f>
        <v>6250</v>
      </c>
      <c r="AP30" s="23" t="n">
        <f aca="false">IF(AND($S30&gt;0,AP$7&gt;=$T30,AP$7&lt;$T30+$R30),$S30,0)+IF(AND($W30&gt;0,AP$7&gt;$X30,AP$7&lt;=$X30+p_AfschrLK),($V30+$W30)/p_AfschrLK,0)</f>
        <v>6250</v>
      </c>
      <c r="AQ30" s="23" t="n">
        <f aca="false">IF(AND($S30&gt;0,AQ$7&gt;=$T30,AQ$7&lt;$T30+$R30),$S30,0)+IF(AND($W30&gt;0,AQ$7&gt;$X30,AQ$7&lt;=$X30+p_AfschrLK),($V30+$W30)/p_AfschrLK,0)</f>
        <v>6250</v>
      </c>
    </row>
    <row r="31" customFormat="false" ht="15" hidden="false" customHeight="false" outlineLevel="0" collapsed="false">
      <c r="A31" s="20" t="str">
        <f aca="false">IF(INDEX('In gebruik'!$A:$A,ROW()+(-3))="","",INDEX('In gebruik'!$A:$A,ROW()+(-3)))</f>
        <v>V26</v>
      </c>
      <c r="B31" s="20" t="str">
        <f aca="false">IF($A31="","",INDEX('In gebruik'!$B:$B,ROW()+(-3))&amp;"")</f>
        <v>RG-730-S</v>
      </c>
      <c r="C31" s="20" t="str">
        <f aca="false">IF($A31="","",INDEX('In gebruik'!$H:$H,ROW()+(-3))&amp;"")</f>
        <v>personenauto</v>
      </c>
      <c r="D31" s="20" t="str">
        <f aca="false">IF($A31="","",INDEX('In gebruik'!$G:$G,ROW()+(-3))&amp;"")</f>
        <v>Algemeen</v>
      </c>
      <c r="E31" s="20" t="str">
        <f aca="false">IF($A31="","",INDEX('In gebruik'!$U:$U,ROW()+(-3))&amp;"")</f>
        <v>Koop</v>
      </c>
      <c r="F31" s="21" t="n">
        <f aca="false">IF($A31="",0,N(INDEX('In gebruik'!$J:$J,ROW()+(-3))))</f>
        <v>2017</v>
      </c>
      <c r="G31" s="21" t="n">
        <f aca="false">IF($A31="",0,N(INDEX('In gebruik'!$K:$K,ROW()+(-3))))</f>
        <v>8</v>
      </c>
      <c r="H31" s="12" t="n">
        <f aca="false">IF(G31&gt;0,F31+G31-1,0)</f>
        <v>2024</v>
      </c>
      <c r="I31" s="12" t="n">
        <f aca="false">IF($A31="",0,IF(N(INDEX('In gebruik'!$W:$W,ROW()+(-3)))&gt;0,N(INDEX('In gebruik'!$W:$W,ROW()+(-3))),IF(G31&gt;0,MAX(F31+G31,p_Start),0)))</f>
        <v>2027</v>
      </c>
      <c r="J31" s="22" t="str">
        <f aca="false">IF($A31="","",IF(AND(G31&gt;0,F31+G31&lt;p_Start),"Over levensduur",IF(AND(I31&gt;0,I31&lt;=p_Start+3),"In begrotingsperiode","")))</f>
        <v>Over levensduur</v>
      </c>
      <c r="K31" s="23" t="n">
        <f aca="false">IF($E31="Lease-koop",p_Aanbet,0)</f>
        <v>0</v>
      </c>
      <c r="L31" s="23" t="n">
        <f aca="false">IF($E31="Lease-koop",p_Belet,0)</f>
        <v>0</v>
      </c>
      <c r="M31" s="23" t="n">
        <f aca="false">IF($E31="Lease-koop",p_Opbouw,0)</f>
        <v>0</v>
      </c>
      <c r="N31" s="23" t="n">
        <f aca="false">IF($E31="Lease-koop",p_Slot,0)</f>
        <v>0</v>
      </c>
      <c r="O31" s="12" t="n">
        <f aca="false">IF($E31="Lease-koop",I31+p_SlotJr,0)</f>
        <v>0</v>
      </c>
      <c r="P31" s="23" t="n">
        <f aca="false">IF($E31="Koop",N(INDEX('In gebruik'!$V:$V,ROW()+(-3))),0)</f>
        <v>45000</v>
      </c>
      <c r="Q31" s="23" t="n">
        <f aca="false">K31+L31+M31+N31+P31</f>
        <v>45000</v>
      </c>
      <c r="R31" s="12" t="n">
        <f aca="false">IF($E31="Lease-koop",p_AfschrLK,IF($E31="Koop",G31,0))</f>
        <v>8</v>
      </c>
      <c r="S31" s="23" t="n">
        <f aca="false">IF(R31&gt;0,Q31/R31,0)</f>
        <v>5625</v>
      </c>
      <c r="T31" s="12" t="n">
        <f aca="false">IF($E31="Lease-koop",O31+1,IF($E31="Koop",I31+1,0))</f>
        <v>2028</v>
      </c>
      <c r="U31" s="23" t="n">
        <f aca="false">IF($E31="Lease-koop",p_Lease,0)</f>
        <v>0</v>
      </c>
      <c r="V31" s="24" t="n">
        <f aca="false">IF($A31="",0,N(INDEX('In gebruik'!$R:$R,ROW()+(-3))))</f>
        <v>0</v>
      </c>
      <c r="W31" s="24" t="n">
        <f aca="false">IF($A31="",0,N(INDEX('In gebruik'!$S:$S,ROW()+(-3))))</f>
        <v>0</v>
      </c>
      <c r="X31" s="21" t="n">
        <f aca="false">IF(W31&gt;0,N(INDEX('In gebruik'!$T:$T,ROW()+(-3))),0)</f>
        <v>0</v>
      </c>
      <c r="Y31" s="24" t="n">
        <f aca="false">IF(W31&gt;0,IF(N(INDEX('In gebruik'!$P:$P,ROW()+(-3)))&gt;0,N(INDEX('In gebruik'!$P:$P,ROW()+(-3))),p_Lease),0)</f>
        <v>0</v>
      </c>
      <c r="AA31" s="23" t="n">
        <f aca="false">IF($Q31+$W31=0,0,IF(AA$7=$I31,$K31+$L31+$M31+$P31,0)+IF(AA$7=$O31,$N31,0)+IF(AA$7=$X31,$W31,0))</f>
        <v>45000</v>
      </c>
      <c r="AB31" s="23" t="n">
        <f aca="false">IF($Q31+$W31=0,0,IF(AB$7=$I31,$K31+$L31+$M31+$P31,0)+IF(AB$7=$O31,$N31,0)+IF(AB$7=$X31,$W31,0))</f>
        <v>0</v>
      </c>
      <c r="AC31" s="23" t="n">
        <f aca="false">IF($Q31+$W31=0,0,IF(AC$7=$I31,$K31+$L31+$M31+$P31,0)+IF(AC$7=$O31,$N31,0)+IF(AC$7=$X31,$W31,0))</f>
        <v>0</v>
      </c>
      <c r="AD31" s="23" t="n">
        <f aca="false">IF($Q31+$W31=0,0,IF(AD$7=$I31,$K31+$L31+$M31+$P31,0)+IF(AD$7=$O31,$N31,0)+IF(AD$7=$X31,$W31,0))</f>
        <v>0</v>
      </c>
      <c r="AE31" s="23" t="n">
        <f aca="false">IF($Q31+$W31=0,0,IF(AE$7=$I31,$K31+$L31+$M31+$P31,0)+IF(AE$7=$O31,$N31,0)+IF(AE$7=$X31,$W31,0))</f>
        <v>0</v>
      </c>
      <c r="AF31" s="23" t="n">
        <f aca="false">IF($Q31+$W31=0,0,IF(AF$7=$I31,$K31+$L31+$M31+$P31,0)+IF(AF$7=$O31,$N31,0)+IF(AF$7=$X31,$W31,0))</f>
        <v>0</v>
      </c>
      <c r="AG31" s="23" t="n">
        <f aca="false">IF($Q31+$W31=0,0,IF(AG$7=$I31,$K31+$L31+$M31+$P31,0)+IF(AG$7=$O31,$N31,0)+IF(AG$7=$X31,$W31,0))</f>
        <v>0</v>
      </c>
      <c r="AH31" s="23" t="n">
        <f aca="false">IF($Q31+$W31=0,0,IF(AH$7=$I31,$K31+$L31+$M31+$P31,0)+IF(AH$7=$O31,$N31,0)+IF(AH$7=$X31,$W31,0))</f>
        <v>0</v>
      </c>
      <c r="AJ31" s="23" t="n">
        <f aca="false">IF(AND($S31&gt;0,AJ$7&gt;=$T31,AJ$7&lt;$T31+$R31),$S31,0)+IF(AND($W31&gt;0,AJ$7&gt;$X31,AJ$7&lt;=$X31+p_AfschrLK),($V31+$W31)/p_AfschrLK,0)</f>
        <v>0</v>
      </c>
      <c r="AK31" s="23" t="n">
        <f aca="false">IF(AND($S31&gt;0,AK$7&gt;=$T31,AK$7&lt;$T31+$R31),$S31,0)+IF(AND($W31&gt;0,AK$7&gt;$X31,AK$7&lt;=$X31+p_AfschrLK),($V31+$W31)/p_AfschrLK,0)</f>
        <v>5625</v>
      </c>
      <c r="AL31" s="23" t="n">
        <f aca="false">IF(AND($S31&gt;0,AL$7&gt;=$T31,AL$7&lt;$T31+$R31),$S31,0)+IF(AND($W31&gt;0,AL$7&gt;$X31,AL$7&lt;=$X31+p_AfschrLK),($V31+$W31)/p_AfschrLK,0)</f>
        <v>5625</v>
      </c>
      <c r="AM31" s="23" t="n">
        <f aca="false">IF(AND($S31&gt;0,AM$7&gt;=$T31,AM$7&lt;$T31+$R31),$S31,0)+IF(AND($W31&gt;0,AM$7&gt;$X31,AM$7&lt;=$X31+p_AfschrLK),($V31+$W31)/p_AfschrLK,0)</f>
        <v>5625</v>
      </c>
      <c r="AN31" s="23" t="n">
        <f aca="false">IF(AND($S31&gt;0,AN$7&gt;=$T31,AN$7&lt;$T31+$R31),$S31,0)+IF(AND($W31&gt;0,AN$7&gt;$X31,AN$7&lt;=$X31+p_AfschrLK),($V31+$W31)/p_AfschrLK,0)</f>
        <v>5625</v>
      </c>
      <c r="AO31" s="23" t="n">
        <f aca="false">IF(AND($S31&gt;0,AO$7&gt;=$T31,AO$7&lt;$T31+$R31),$S31,0)+IF(AND($W31&gt;0,AO$7&gt;$X31,AO$7&lt;=$X31+p_AfschrLK),($V31+$W31)/p_AfschrLK,0)</f>
        <v>5625</v>
      </c>
      <c r="AP31" s="23" t="n">
        <f aca="false">IF(AND($S31&gt;0,AP$7&gt;=$T31,AP$7&lt;$T31+$R31),$S31,0)+IF(AND($W31&gt;0,AP$7&gt;$X31,AP$7&lt;=$X31+p_AfschrLK),($V31+$W31)/p_AfschrLK,0)</f>
        <v>5625</v>
      </c>
      <c r="AQ31" s="23" t="n">
        <f aca="false">IF(AND($S31&gt;0,AQ$7&gt;=$T31,AQ$7&lt;$T31+$R31),$S31,0)+IF(AND($W31&gt;0,AQ$7&gt;$X31,AQ$7&lt;=$X31+p_AfschrLK),($V31+$W31)/p_AfschrLK,0)</f>
        <v>5625</v>
      </c>
    </row>
    <row r="32" customFormat="false" ht="15" hidden="false" customHeight="false" outlineLevel="0" collapsed="false">
      <c r="A32" s="20" t="str">
        <f aca="false">IF(INDEX('In gebruik'!$A:$A,ROW()+(-3))="","",INDEX('In gebruik'!$A:$A,ROW()+(-3)))</f>
        <v>V27</v>
      </c>
      <c r="B32" s="20" t="str">
        <f aca="false">IF($A32="","",INDEX('In gebruik'!$B:$B,ROW()+(-3))&amp;"")</f>
        <v>PX-814-X</v>
      </c>
      <c r="C32" s="20" t="str">
        <f aca="false">IF($A32="","",INDEX('In gebruik'!$H:$H,ROW()+(-3))&amp;"")</f>
        <v>personenauto</v>
      </c>
      <c r="D32" s="20" t="str">
        <f aca="false">IF($A32="","",INDEX('In gebruik'!$G:$G,ROW()+(-3))&amp;"")</f>
        <v>Handhaving</v>
      </c>
      <c r="E32" s="20" t="str">
        <f aca="false">IF($A32="","",INDEX('In gebruik'!$U:$U,ROW()+(-3))&amp;"")</f>
        <v>Koop</v>
      </c>
      <c r="F32" s="21" t="n">
        <f aca="false">IF($A32="",0,N(INDEX('In gebruik'!$J:$J,ROW()+(-3))))</f>
        <v>2017</v>
      </c>
      <c r="G32" s="21" t="n">
        <f aca="false">IF($A32="",0,N(INDEX('In gebruik'!$K:$K,ROW()+(-3))))</f>
        <v>8</v>
      </c>
      <c r="H32" s="12" t="n">
        <f aca="false">IF(G32&gt;0,F32+G32-1,0)</f>
        <v>2024</v>
      </c>
      <c r="I32" s="12" t="n">
        <f aca="false">IF($A32="",0,IF(N(INDEX('In gebruik'!$W:$W,ROW()+(-3)))&gt;0,N(INDEX('In gebruik'!$W:$W,ROW()+(-3))),IF(G32&gt;0,MAX(F32+G32,p_Start),0)))</f>
        <v>2027</v>
      </c>
      <c r="J32" s="22" t="str">
        <f aca="false">IF($A32="","",IF(AND(G32&gt;0,F32+G32&lt;p_Start),"Over levensduur",IF(AND(I32&gt;0,I32&lt;=p_Start+3),"In begrotingsperiode","")))</f>
        <v>Over levensduur</v>
      </c>
      <c r="K32" s="23" t="n">
        <f aca="false">IF($E32="Lease-koop",p_Aanbet,0)</f>
        <v>0</v>
      </c>
      <c r="L32" s="23" t="n">
        <f aca="false">IF($E32="Lease-koop",p_Belet,0)</f>
        <v>0</v>
      </c>
      <c r="M32" s="23" t="n">
        <f aca="false">IF($E32="Lease-koop",p_Opbouw,0)</f>
        <v>0</v>
      </c>
      <c r="N32" s="23" t="n">
        <f aca="false">IF($E32="Lease-koop",p_Slot,0)</f>
        <v>0</v>
      </c>
      <c r="O32" s="12" t="n">
        <f aca="false">IF($E32="Lease-koop",I32+p_SlotJr,0)</f>
        <v>0</v>
      </c>
      <c r="P32" s="23" t="n">
        <f aca="false">IF($E32="Koop",N(INDEX('In gebruik'!$V:$V,ROW()+(-3))),0)</f>
        <v>45000</v>
      </c>
      <c r="Q32" s="23" t="n">
        <f aca="false">K32+L32+M32+N32+P32</f>
        <v>45000</v>
      </c>
      <c r="R32" s="12" t="n">
        <f aca="false">IF($E32="Lease-koop",p_AfschrLK,IF($E32="Koop",G32,0))</f>
        <v>8</v>
      </c>
      <c r="S32" s="23" t="n">
        <f aca="false">IF(R32&gt;0,Q32/R32,0)</f>
        <v>5625</v>
      </c>
      <c r="T32" s="12" t="n">
        <f aca="false">IF($E32="Lease-koop",O32+1,IF($E32="Koop",I32+1,0))</f>
        <v>2028</v>
      </c>
      <c r="U32" s="23" t="n">
        <f aca="false">IF($E32="Lease-koop",p_Lease,0)</f>
        <v>0</v>
      </c>
      <c r="V32" s="24" t="n">
        <f aca="false">IF($A32="",0,N(INDEX('In gebruik'!$R:$R,ROW()+(-3))))</f>
        <v>0</v>
      </c>
      <c r="W32" s="24" t="n">
        <f aca="false">IF($A32="",0,N(INDEX('In gebruik'!$S:$S,ROW()+(-3))))</f>
        <v>0</v>
      </c>
      <c r="X32" s="21" t="n">
        <f aca="false">IF(W32&gt;0,N(INDEX('In gebruik'!$T:$T,ROW()+(-3))),0)</f>
        <v>0</v>
      </c>
      <c r="Y32" s="24" t="n">
        <f aca="false">IF(W32&gt;0,IF(N(INDEX('In gebruik'!$P:$P,ROW()+(-3)))&gt;0,N(INDEX('In gebruik'!$P:$P,ROW()+(-3))),p_Lease),0)</f>
        <v>0</v>
      </c>
      <c r="AA32" s="23" t="n">
        <f aca="false">IF($Q32+$W32=0,0,IF(AA$7=$I32,$K32+$L32+$M32+$P32,0)+IF(AA$7=$O32,$N32,0)+IF(AA$7=$X32,$W32,0))</f>
        <v>45000</v>
      </c>
      <c r="AB32" s="23" t="n">
        <f aca="false">IF($Q32+$W32=0,0,IF(AB$7=$I32,$K32+$L32+$M32+$P32,0)+IF(AB$7=$O32,$N32,0)+IF(AB$7=$X32,$W32,0))</f>
        <v>0</v>
      </c>
      <c r="AC32" s="23" t="n">
        <f aca="false">IF($Q32+$W32=0,0,IF(AC$7=$I32,$K32+$L32+$M32+$P32,0)+IF(AC$7=$O32,$N32,0)+IF(AC$7=$X32,$W32,0))</f>
        <v>0</v>
      </c>
      <c r="AD32" s="23" t="n">
        <f aca="false">IF($Q32+$W32=0,0,IF(AD$7=$I32,$K32+$L32+$M32+$P32,0)+IF(AD$7=$O32,$N32,0)+IF(AD$7=$X32,$W32,0))</f>
        <v>0</v>
      </c>
      <c r="AE32" s="23" t="n">
        <f aca="false">IF($Q32+$W32=0,0,IF(AE$7=$I32,$K32+$L32+$M32+$P32,0)+IF(AE$7=$O32,$N32,0)+IF(AE$7=$X32,$W32,0))</f>
        <v>0</v>
      </c>
      <c r="AF32" s="23" t="n">
        <f aca="false">IF($Q32+$W32=0,0,IF(AF$7=$I32,$K32+$L32+$M32+$P32,0)+IF(AF$7=$O32,$N32,0)+IF(AF$7=$X32,$W32,0))</f>
        <v>0</v>
      </c>
      <c r="AG32" s="23" t="n">
        <f aca="false">IF($Q32+$W32=0,0,IF(AG$7=$I32,$K32+$L32+$M32+$P32,0)+IF(AG$7=$O32,$N32,0)+IF(AG$7=$X32,$W32,0))</f>
        <v>0</v>
      </c>
      <c r="AH32" s="23" t="n">
        <f aca="false">IF($Q32+$W32=0,0,IF(AH$7=$I32,$K32+$L32+$M32+$P32,0)+IF(AH$7=$O32,$N32,0)+IF(AH$7=$X32,$W32,0))</f>
        <v>0</v>
      </c>
      <c r="AJ32" s="23" t="n">
        <f aca="false">IF(AND($S32&gt;0,AJ$7&gt;=$T32,AJ$7&lt;$T32+$R32),$S32,0)+IF(AND($W32&gt;0,AJ$7&gt;$X32,AJ$7&lt;=$X32+p_AfschrLK),($V32+$W32)/p_AfschrLK,0)</f>
        <v>0</v>
      </c>
      <c r="AK32" s="23" t="n">
        <f aca="false">IF(AND($S32&gt;0,AK$7&gt;=$T32,AK$7&lt;$T32+$R32),$S32,0)+IF(AND($W32&gt;0,AK$7&gt;$X32,AK$7&lt;=$X32+p_AfschrLK),($V32+$W32)/p_AfschrLK,0)</f>
        <v>5625</v>
      </c>
      <c r="AL32" s="23" t="n">
        <f aca="false">IF(AND($S32&gt;0,AL$7&gt;=$T32,AL$7&lt;$T32+$R32),$S32,0)+IF(AND($W32&gt;0,AL$7&gt;$X32,AL$7&lt;=$X32+p_AfschrLK),($V32+$W32)/p_AfschrLK,0)</f>
        <v>5625</v>
      </c>
      <c r="AM32" s="23" t="n">
        <f aca="false">IF(AND($S32&gt;0,AM$7&gt;=$T32,AM$7&lt;$T32+$R32),$S32,0)+IF(AND($W32&gt;0,AM$7&gt;$X32,AM$7&lt;=$X32+p_AfschrLK),($V32+$W32)/p_AfschrLK,0)</f>
        <v>5625</v>
      </c>
      <c r="AN32" s="23" t="n">
        <f aca="false">IF(AND($S32&gt;0,AN$7&gt;=$T32,AN$7&lt;$T32+$R32),$S32,0)+IF(AND($W32&gt;0,AN$7&gt;$X32,AN$7&lt;=$X32+p_AfschrLK),($V32+$W32)/p_AfschrLK,0)</f>
        <v>5625</v>
      </c>
      <c r="AO32" s="23" t="n">
        <f aca="false">IF(AND($S32&gt;0,AO$7&gt;=$T32,AO$7&lt;$T32+$R32),$S32,0)+IF(AND($W32&gt;0,AO$7&gt;$X32,AO$7&lt;=$X32+p_AfschrLK),($V32+$W32)/p_AfschrLK,0)</f>
        <v>5625</v>
      </c>
      <c r="AP32" s="23" t="n">
        <f aca="false">IF(AND($S32&gt;0,AP$7&gt;=$T32,AP$7&lt;$T32+$R32),$S32,0)+IF(AND($W32&gt;0,AP$7&gt;$X32,AP$7&lt;=$X32+p_AfschrLK),($V32+$W32)/p_AfschrLK,0)</f>
        <v>5625</v>
      </c>
      <c r="AQ32" s="23" t="n">
        <f aca="false">IF(AND($S32&gt;0,AQ$7&gt;=$T32,AQ$7&lt;$T32+$R32),$S32,0)+IF(AND($W32&gt;0,AQ$7&gt;$X32,AQ$7&lt;=$X32+p_AfschrLK),($V32+$W32)/p_AfschrLK,0)</f>
        <v>5625</v>
      </c>
    </row>
    <row r="33" customFormat="false" ht="15" hidden="false" customHeight="false" outlineLevel="0" collapsed="false">
      <c r="A33" s="20" t="str">
        <f aca="false">IF(INDEX('In gebruik'!$A:$A,ROW()+(-3))="","",INDEX('In gebruik'!$A:$A,ROW()+(-3)))</f>
        <v>V28</v>
      </c>
      <c r="B33" s="20" t="str">
        <f aca="false">IF($A33="","",INDEX('In gebruik'!$B:$B,ROW()+(-3))&amp;"")</f>
        <v>KGN-02-Z</v>
      </c>
      <c r="C33" s="20" t="str">
        <f aca="false">IF($A33="","",INDEX('In gebruik'!$H:$H,ROW()+(-3))&amp;"")</f>
        <v>personenauto</v>
      </c>
      <c r="D33" s="20" t="str">
        <f aca="false">IF($A33="","",INDEX('In gebruik'!$G:$G,ROW()+(-3))&amp;"")</f>
        <v>Veiligheid</v>
      </c>
      <c r="E33" s="20" t="str">
        <f aca="false">IF($A33="","",INDEX('In gebruik'!$U:$U,ROW()+(-3))&amp;"")</f>
        <v>Lease-koop</v>
      </c>
      <c r="F33" s="21" t="n">
        <f aca="false">IF($A33="",0,N(INDEX('In gebruik'!$J:$J,ROW()+(-3))))</f>
        <v>2026</v>
      </c>
      <c r="G33" s="21" t="n">
        <f aca="false">IF($A33="",0,N(INDEX('In gebruik'!$K:$K,ROW()+(-3))))</f>
        <v>8</v>
      </c>
      <c r="H33" s="12" t="n">
        <f aca="false">IF(G33&gt;0,F33+G33-1,0)</f>
        <v>2033</v>
      </c>
      <c r="I33" s="12" t="n">
        <f aca="false">IF($A33="",0,IF(N(INDEX('In gebruik'!$W:$W,ROW()+(-3)))&gt;0,N(INDEX('In gebruik'!$W:$W,ROW()+(-3))),IF(G33&gt;0,MAX(F33+G33,p_Start),0)))</f>
        <v>2034</v>
      </c>
      <c r="J33" s="22" t="str">
        <f aca="false">IF($A33="","",IF(AND(G33&gt;0,F33+G33&lt;p_Start),"Over levensduur",IF(AND(I33&gt;0,I33&lt;=p_Start+3),"In begrotingsperiode","")))</f>
        <v/>
      </c>
      <c r="K33" s="23" t="n">
        <f aca="false">IF($E33="Lease-koop",p_Aanbet,0)</f>
        <v>10000</v>
      </c>
      <c r="L33" s="23" t="n">
        <f aca="false">IF($E33="Lease-koop",p_Belet,0)</f>
        <v>5000</v>
      </c>
      <c r="M33" s="23" t="n">
        <f aca="false">IF($E33="Lease-koop",p_Opbouw,0)</f>
        <v>7000</v>
      </c>
      <c r="N33" s="23" t="n">
        <f aca="false">IF($E33="Lease-koop",p_Slot,0)</f>
        <v>35000</v>
      </c>
      <c r="O33" s="12" t="n">
        <f aca="false">IF($E33="Lease-koop",I33+p_SlotJr,0)</f>
        <v>2036</v>
      </c>
      <c r="P33" s="23" t="n">
        <f aca="false">IF($E33="Koop",N(INDEX('In gebruik'!$V:$V,ROW()+(-3))),0)</f>
        <v>0</v>
      </c>
      <c r="Q33" s="23" t="n">
        <f aca="false">K33+L33+M33+N33+P33</f>
        <v>57000</v>
      </c>
      <c r="R33" s="12" t="n">
        <f aca="false">IF($E33="Lease-koop",p_AfschrLK,IF($E33="Koop",G33,0))</f>
        <v>6</v>
      </c>
      <c r="S33" s="23" t="n">
        <f aca="false">IF(R33&gt;0,Q33/R33,0)</f>
        <v>9500</v>
      </c>
      <c r="T33" s="12" t="n">
        <f aca="false">IF($E33="Lease-koop",O33+1,IF($E33="Koop",I33+1,0))</f>
        <v>2037</v>
      </c>
      <c r="U33" s="23" t="n">
        <f aca="false">IF($E33="Lease-koop",p_Lease,0)</f>
        <v>12000</v>
      </c>
      <c r="V33" s="24" t="n">
        <f aca="false">IF($A33="",0,N(INDEX('In gebruik'!$R:$R,ROW()+(-3))))</f>
        <v>0</v>
      </c>
      <c r="W33" s="24" t="n">
        <f aca="false">IF($A33="",0,N(INDEX('In gebruik'!$S:$S,ROW()+(-3))))</f>
        <v>0</v>
      </c>
      <c r="X33" s="21" t="n">
        <f aca="false">IF(W33&gt;0,N(INDEX('In gebruik'!$T:$T,ROW()+(-3))),0)</f>
        <v>0</v>
      </c>
      <c r="Y33" s="24" t="n">
        <f aca="false">IF(W33&gt;0,IF(N(INDEX('In gebruik'!$P:$P,ROW()+(-3)))&gt;0,N(INDEX('In gebruik'!$P:$P,ROW()+(-3))),p_Lease),0)</f>
        <v>0</v>
      </c>
      <c r="AA33" s="23" t="n">
        <f aca="false">IF($Q33+$W33=0,0,IF(AA$7=$I33,$K33+$L33+$M33+$P33,0)+IF(AA$7=$O33,$N33,0)+IF(AA$7=$X33,$W33,0))</f>
        <v>0</v>
      </c>
      <c r="AB33" s="23" t="n">
        <f aca="false">IF($Q33+$W33=0,0,IF(AB$7=$I33,$K33+$L33+$M33+$P33,0)+IF(AB$7=$O33,$N33,0)+IF(AB$7=$X33,$W33,0))</f>
        <v>0</v>
      </c>
      <c r="AC33" s="23" t="n">
        <f aca="false">IF($Q33+$W33=0,0,IF(AC$7=$I33,$K33+$L33+$M33+$P33,0)+IF(AC$7=$O33,$N33,0)+IF(AC$7=$X33,$W33,0))</f>
        <v>0</v>
      </c>
      <c r="AD33" s="23" t="n">
        <f aca="false">IF($Q33+$W33=0,0,IF(AD$7=$I33,$K33+$L33+$M33+$P33,0)+IF(AD$7=$O33,$N33,0)+IF(AD$7=$X33,$W33,0))</f>
        <v>0</v>
      </c>
      <c r="AE33" s="23" t="n">
        <f aca="false">IF($Q33+$W33=0,0,IF(AE$7=$I33,$K33+$L33+$M33+$P33,0)+IF(AE$7=$O33,$N33,0)+IF(AE$7=$X33,$W33,0))</f>
        <v>0</v>
      </c>
      <c r="AF33" s="23" t="n">
        <f aca="false">IF($Q33+$W33=0,0,IF(AF$7=$I33,$K33+$L33+$M33+$P33,0)+IF(AF$7=$O33,$N33,0)+IF(AF$7=$X33,$W33,0))</f>
        <v>0</v>
      </c>
      <c r="AG33" s="23" t="n">
        <f aca="false">IF($Q33+$W33=0,0,IF(AG$7=$I33,$K33+$L33+$M33+$P33,0)+IF(AG$7=$O33,$N33,0)+IF(AG$7=$X33,$W33,0))</f>
        <v>0</v>
      </c>
      <c r="AH33" s="23" t="n">
        <f aca="false">IF($Q33+$W33=0,0,IF(AH$7=$I33,$K33+$L33+$M33+$P33,0)+IF(AH$7=$O33,$N33,0)+IF(AH$7=$X33,$W33,0))</f>
        <v>22000</v>
      </c>
      <c r="AJ33" s="23" t="n">
        <f aca="false">IF(AND($S33&gt;0,AJ$7&gt;=$T33,AJ$7&lt;$T33+$R33),$S33,0)+IF(AND($W33&gt;0,AJ$7&gt;$X33,AJ$7&lt;=$X33+p_AfschrLK),($V33+$W33)/p_AfschrLK,0)</f>
        <v>0</v>
      </c>
      <c r="AK33" s="23" t="n">
        <f aca="false">IF(AND($S33&gt;0,AK$7&gt;=$T33,AK$7&lt;$T33+$R33),$S33,0)+IF(AND($W33&gt;0,AK$7&gt;$X33,AK$7&lt;=$X33+p_AfschrLK),($V33+$W33)/p_AfschrLK,0)</f>
        <v>0</v>
      </c>
      <c r="AL33" s="23" t="n">
        <f aca="false">IF(AND($S33&gt;0,AL$7&gt;=$T33,AL$7&lt;$T33+$R33),$S33,0)+IF(AND($W33&gt;0,AL$7&gt;$X33,AL$7&lt;=$X33+p_AfschrLK),($V33+$W33)/p_AfschrLK,0)</f>
        <v>0</v>
      </c>
      <c r="AM33" s="23" t="n">
        <f aca="false">IF(AND($S33&gt;0,AM$7&gt;=$T33,AM$7&lt;$T33+$R33),$S33,0)+IF(AND($W33&gt;0,AM$7&gt;$X33,AM$7&lt;=$X33+p_AfschrLK),($V33+$W33)/p_AfschrLK,0)</f>
        <v>0</v>
      </c>
      <c r="AN33" s="23" t="n">
        <f aca="false">IF(AND($S33&gt;0,AN$7&gt;=$T33,AN$7&lt;$T33+$R33),$S33,0)+IF(AND($W33&gt;0,AN$7&gt;$X33,AN$7&lt;=$X33+p_AfschrLK),($V33+$W33)/p_AfschrLK,0)</f>
        <v>0</v>
      </c>
      <c r="AO33" s="23" t="n">
        <f aca="false">IF(AND($S33&gt;0,AO$7&gt;=$T33,AO$7&lt;$T33+$R33),$S33,0)+IF(AND($W33&gt;0,AO$7&gt;$X33,AO$7&lt;=$X33+p_AfschrLK),($V33+$W33)/p_AfschrLK,0)</f>
        <v>0</v>
      </c>
      <c r="AP33" s="23" t="n">
        <f aca="false">IF(AND($S33&gt;0,AP$7&gt;=$T33,AP$7&lt;$T33+$R33),$S33,0)+IF(AND($W33&gt;0,AP$7&gt;$X33,AP$7&lt;=$X33+p_AfschrLK),($V33+$W33)/p_AfschrLK,0)</f>
        <v>0</v>
      </c>
      <c r="AQ33" s="23" t="n">
        <f aca="false">IF(AND($S33&gt;0,AQ$7&gt;=$T33,AQ$7&lt;$T33+$R33),$S33,0)+IF(AND($W33&gt;0,AQ$7&gt;$X33,AQ$7&lt;=$X33+p_AfschrLK),($V33+$W33)/p_AfschrLK,0)</f>
        <v>0</v>
      </c>
    </row>
    <row r="34" customFormat="false" ht="15" hidden="false" customHeight="false" outlineLevel="0" collapsed="false">
      <c r="A34" s="20" t="str">
        <f aca="false">IF(INDEX('In gebruik'!$A:$A,ROW()+(-3))="","",INDEX('In gebruik'!$A:$A,ROW()+(-3)))</f>
        <v>V29</v>
      </c>
      <c r="B34" s="20" t="str">
        <f aca="false">IF($A34="","",INDEX('In gebruik'!$B:$B,ROW()+(-3))&amp;"")</f>
        <v>X-385-DH</v>
      </c>
      <c r="C34" s="20" t="str">
        <f aca="false">IF($A34="","",INDEX('In gebruik'!$H:$H,ROW()+(-3))&amp;"")</f>
        <v>personenauto</v>
      </c>
      <c r="D34" s="20" t="str">
        <f aca="false">IF($A34="","",INDEX('In gebruik'!$G:$G,ROW()+(-3))&amp;"")</f>
        <v>Handhaving</v>
      </c>
      <c r="E34" s="20" t="str">
        <f aca="false">IF($A34="","",INDEX('In gebruik'!$U:$U,ROW()+(-3))&amp;"")</f>
        <v>Lease-koop</v>
      </c>
      <c r="F34" s="21" t="n">
        <f aca="false">IF($A34="",0,N(INDEX('In gebruik'!$J:$J,ROW()+(-3))))</f>
        <v>2023</v>
      </c>
      <c r="G34" s="21" t="n">
        <f aca="false">IF($A34="",0,N(INDEX('In gebruik'!$K:$K,ROW()+(-3))))</f>
        <v>8</v>
      </c>
      <c r="H34" s="12" t="n">
        <f aca="false">IF(G34&gt;0,F34+G34-1,0)</f>
        <v>2030</v>
      </c>
      <c r="I34" s="12" t="n">
        <f aca="false">IF($A34="",0,IF(N(INDEX('In gebruik'!$W:$W,ROW()+(-3)))&gt;0,N(INDEX('In gebruik'!$W:$W,ROW()+(-3))),IF(G34&gt;0,MAX(F34+G34,p_Start),0)))</f>
        <v>2031</v>
      </c>
      <c r="J34" s="22" t="str">
        <f aca="false">IF($A34="","",IF(AND(G34&gt;0,F34+G34&lt;p_Start),"Over levensduur",IF(AND(I34&gt;0,I34&lt;=p_Start+3),"In begrotingsperiode","")))</f>
        <v/>
      </c>
      <c r="K34" s="23" t="n">
        <f aca="false">IF($E34="Lease-koop",p_Aanbet,0)</f>
        <v>10000</v>
      </c>
      <c r="L34" s="23" t="n">
        <f aca="false">IF($E34="Lease-koop",p_Belet,0)</f>
        <v>5000</v>
      </c>
      <c r="M34" s="23" t="n">
        <f aca="false">IF($E34="Lease-koop",p_Opbouw,0)</f>
        <v>7000</v>
      </c>
      <c r="N34" s="23" t="n">
        <f aca="false">IF($E34="Lease-koop",p_Slot,0)</f>
        <v>35000</v>
      </c>
      <c r="O34" s="12" t="n">
        <f aca="false">IF($E34="Lease-koop",I34+p_SlotJr,0)</f>
        <v>2033</v>
      </c>
      <c r="P34" s="23" t="n">
        <f aca="false">IF($E34="Koop",N(INDEX('In gebruik'!$V:$V,ROW()+(-3))),0)</f>
        <v>0</v>
      </c>
      <c r="Q34" s="23" t="n">
        <f aca="false">K34+L34+M34+N34+P34</f>
        <v>57000</v>
      </c>
      <c r="R34" s="12" t="n">
        <f aca="false">IF($E34="Lease-koop",p_AfschrLK,IF($E34="Koop",G34,0))</f>
        <v>6</v>
      </c>
      <c r="S34" s="23" t="n">
        <f aca="false">IF(R34&gt;0,Q34/R34,0)</f>
        <v>9500</v>
      </c>
      <c r="T34" s="12" t="n">
        <f aca="false">IF($E34="Lease-koop",O34+1,IF($E34="Koop",I34+1,0))</f>
        <v>2034</v>
      </c>
      <c r="U34" s="23" t="n">
        <f aca="false">IF($E34="Lease-koop",p_Lease,0)</f>
        <v>12000</v>
      </c>
      <c r="V34" s="24" t="n">
        <f aca="false">IF($A34="",0,N(INDEX('In gebruik'!$R:$R,ROW()+(-3))))</f>
        <v>0</v>
      </c>
      <c r="W34" s="24" t="n">
        <f aca="false">IF($A34="",0,N(INDEX('In gebruik'!$S:$S,ROW()+(-3))))</f>
        <v>0</v>
      </c>
      <c r="X34" s="21" t="n">
        <f aca="false">IF(W34&gt;0,N(INDEX('In gebruik'!$T:$T,ROW()+(-3))),0)</f>
        <v>0</v>
      </c>
      <c r="Y34" s="24" t="n">
        <f aca="false">IF(W34&gt;0,IF(N(INDEX('In gebruik'!$P:$P,ROW()+(-3)))&gt;0,N(INDEX('In gebruik'!$P:$P,ROW()+(-3))),p_Lease),0)</f>
        <v>0</v>
      </c>
      <c r="AA34" s="23" t="n">
        <f aca="false">IF($Q34+$W34=0,0,IF(AA$7=$I34,$K34+$L34+$M34+$P34,0)+IF(AA$7=$O34,$N34,0)+IF(AA$7=$X34,$W34,0))</f>
        <v>0</v>
      </c>
      <c r="AB34" s="23" t="n">
        <f aca="false">IF($Q34+$W34=0,0,IF(AB$7=$I34,$K34+$L34+$M34+$P34,0)+IF(AB$7=$O34,$N34,0)+IF(AB$7=$X34,$W34,0))</f>
        <v>0</v>
      </c>
      <c r="AC34" s="23" t="n">
        <f aca="false">IF($Q34+$W34=0,0,IF(AC$7=$I34,$K34+$L34+$M34+$P34,0)+IF(AC$7=$O34,$N34,0)+IF(AC$7=$X34,$W34,0))</f>
        <v>0</v>
      </c>
      <c r="AD34" s="23" t="n">
        <f aca="false">IF($Q34+$W34=0,0,IF(AD$7=$I34,$K34+$L34+$M34+$P34,0)+IF(AD$7=$O34,$N34,0)+IF(AD$7=$X34,$W34,0))</f>
        <v>0</v>
      </c>
      <c r="AE34" s="23" t="n">
        <f aca="false">IF($Q34+$W34=0,0,IF(AE$7=$I34,$K34+$L34+$M34+$P34,0)+IF(AE$7=$O34,$N34,0)+IF(AE$7=$X34,$W34,0))</f>
        <v>22000</v>
      </c>
      <c r="AF34" s="23" t="n">
        <f aca="false">IF($Q34+$W34=0,0,IF(AF$7=$I34,$K34+$L34+$M34+$P34,0)+IF(AF$7=$O34,$N34,0)+IF(AF$7=$X34,$W34,0))</f>
        <v>0</v>
      </c>
      <c r="AG34" s="23" t="n">
        <f aca="false">IF($Q34+$W34=0,0,IF(AG$7=$I34,$K34+$L34+$M34+$P34,0)+IF(AG$7=$O34,$N34,0)+IF(AG$7=$X34,$W34,0))</f>
        <v>35000</v>
      </c>
      <c r="AH34" s="23" t="n">
        <f aca="false">IF($Q34+$W34=0,0,IF(AH$7=$I34,$K34+$L34+$M34+$P34,0)+IF(AH$7=$O34,$N34,0)+IF(AH$7=$X34,$W34,0))</f>
        <v>0</v>
      </c>
      <c r="AJ34" s="23" t="n">
        <f aca="false">IF(AND($S34&gt;0,AJ$7&gt;=$T34,AJ$7&lt;$T34+$R34),$S34,0)+IF(AND($W34&gt;0,AJ$7&gt;$X34,AJ$7&lt;=$X34+p_AfschrLK),($V34+$W34)/p_AfschrLK,0)</f>
        <v>0</v>
      </c>
      <c r="AK34" s="23" t="n">
        <f aca="false">IF(AND($S34&gt;0,AK$7&gt;=$T34,AK$7&lt;$T34+$R34),$S34,0)+IF(AND($W34&gt;0,AK$7&gt;$X34,AK$7&lt;=$X34+p_AfschrLK),($V34+$W34)/p_AfschrLK,0)</f>
        <v>0</v>
      </c>
      <c r="AL34" s="23" t="n">
        <f aca="false">IF(AND($S34&gt;0,AL$7&gt;=$T34,AL$7&lt;$T34+$R34),$S34,0)+IF(AND($W34&gt;0,AL$7&gt;$X34,AL$7&lt;=$X34+p_AfschrLK),($V34+$W34)/p_AfschrLK,0)</f>
        <v>0</v>
      </c>
      <c r="AM34" s="23" t="n">
        <f aca="false">IF(AND($S34&gt;0,AM$7&gt;=$T34,AM$7&lt;$T34+$R34),$S34,0)+IF(AND($W34&gt;0,AM$7&gt;$X34,AM$7&lt;=$X34+p_AfschrLK),($V34+$W34)/p_AfschrLK,0)</f>
        <v>0</v>
      </c>
      <c r="AN34" s="23" t="n">
        <f aca="false">IF(AND($S34&gt;0,AN$7&gt;=$T34,AN$7&lt;$T34+$R34),$S34,0)+IF(AND($W34&gt;0,AN$7&gt;$X34,AN$7&lt;=$X34+p_AfschrLK),($V34+$W34)/p_AfschrLK,0)</f>
        <v>0</v>
      </c>
      <c r="AO34" s="23" t="n">
        <f aca="false">IF(AND($S34&gt;0,AO$7&gt;=$T34,AO$7&lt;$T34+$R34),$S34,0)+IF(AND($W34&gt;0,AO$7&gt;$X34,AO$7&lt;=$X34+p_AfschrLK),($V34+$W34)/p_AfschrLK,0)</f>
        <v>0</v>
      </c>
      <c r="AP34" s="23" t="n">
        <f aca="false">IF(AND($S34&gt;0,AP$7&gt;=$T34,AP$7&lt;$T34+$R34),$S34,0)+IF(AND($W34&gt;0,AP$7&gt;$X34,AP$7&lt;=$X34+p_AfschrLK),($V34+$W34)/p_AfschrLK,0)</f>
        <v>0</v>
      </c>
      <c r="AQ34" s="23" t="n">
        <f aca="false">IF(AND($S34&gt;0,AQ$7&gt;=$T34,AQ$7&lt;$T34+$R34),$S34,0)+IF(AND($W34&gt;0,AQ$7&gt;$X34,AQ$7&lt;=$X34+p_AfschrLK),($V34+$W34)/p_AfschrLK,0)</f>
        <v>9500</v>
      </c>
    </row>
    <row r="35" customFormat="false" ht="15" hidden="false" customHeight="false" outlineLevel="0" collapsed="false">
      <c r="A35" s="20" t="str">
        <f aca="false">IF(INDEX('In gebruik'!$A:$A,ROW()+(-3))="","",INDEX('In gebruik'!$A:$A,ROW()+(-3)))</f>
        <v/>
      </c>
      <c r="B35" s="20" t="str">
        <f aca="false">IF($A35="","",INDEX('In gebruik'!$B:$B,ROW()+(-3))&amp;"")</f>
        <v/>
      </c>
      <c r="C35" s="20" t="str">
        <f aca="false">IF($A35="","",INDEX('In gebruik'!$H:$H,ROW()+(-3))&amp;"")</f>
        <v/>
      </c>
      <c r="D35" s="20" t="str">
        <f aca="false">IF($A35="","",INDEX('In gebruik'!$G:$G,ROW()+(-3))&amp;"")</f>
        <v/>
      </c>
      <c r="E35" s="20" t="str">
        <f aca="false">IF($A35="","",INDEX('In gebruik'!$U:$U,ROW()+(-3))&amp;"")</f>
        <v/>
      </c>
      <c r="F35" s="21" t="n">
        <f aca="false">IF($A35="",0,N(INDEX('In gebruik'!$J:$J,ROW()+(-3))))</f>
        <v>0</v>
      </c>
      <c r="G35" s="21" t="n">
        <f aca="false">IF($A35="",0,N(INDEX('In gebruik'!$K:$K,ROW()+(-3))))</f>
        <v>0</v>
      </c>
      <c r="H35" s="12" t="n">
        <f aca="false">IF(G35&gt;0,F35+G35-1,0)</f>
        <v>0</v>
      </c>
      <c r="I35" s="12" t="n">
        <f aca="false">IF($A35="",0,IF(N(INDEX('In gebruik'!$W:$W,ROW()+(-3)))&gt;0,N(INDEX('In gebruik'!$W:$W,ROW()+(-3))),IF(G35&gt;0,MAX(F35+G35,p_Start),0)))</f>
        <v>0</v>
      </c>
      <c r="J35" s="22" t="str">
        <f aca="false">IF($A35="","",IF(AND(G35&gt;0,F35+G35&lt;p_Start),"Over levensduur",IF(AND(I35&gt;0,I35&lt;=p_Start+3),"In begrotingsperiode","")))</f>
        <v/>
      </c>
      <c r="K35" s="23" t="n">
        <f aca="false">IF($E35="Lease-koop",p_Aanbet,0)</f>
        <v>0</v>
      </c>
      <c r="L35" s="23" t="n">
        <f aca="false">IF($E35="Lease-koop",p_Belet,0)</f>
        <v>0</v>
      </c>
      <c r="M35" s="23" t="n">
        <f aca="false">IF($E35="Lease-koop",p_Opbouw,0)</f>
        <v>0</v>
      </c>
      <c r="N35" s="23" t="n">
        <f aca="false">IF($E35="Lease-koop",p_Slot,0)</f>
        <v>0</v>
      </c>
      <c r="O35" s="12" t="n">
        <f aca="false">IF($E35="Lease-koop",I35+p_SlotJr,0)</f>
        <v>0</v>
      </c>
      <c r="P35" s="23" t="n">
        <f aca="false">IF($E35="Koop",N(INDEX('In gebruik'!$V:$V,ROW()+(-3))),0)</f>
        <v>0</v>
      </c>
      <c r="Q35" s="23" t="n">
        <f aca="false">K35+L35+M35+N35+P35</f>
        <v>0</v>
      </c>
      <c r="R35" s="12" t="n">
        <f aca="false">IF($E35="Lease-koop",p_AfschrLK,IF($E35="Koop",G35,0))</f>
        <v>0</v>
      </c>
      <c r="S35" s="23" t="n">
        <f aca="false">IF(R35&gt;0,Q35/R35,0)</f>
        <v>0</v>
      </c>
      <c r="T35" s="12" t="n">
        <f aca="false">IF($E35="Lease-koop",O35+1,IF($E35="Koop",I35+1,0))</f>
        <v>0</v>
      </c>
      <c r="U35" s="23" t="n">
        <f aca="false">IF($E35="Lease-koop",p_Lease,0)</f>
        <v>0</v>
      </c>
      <c r="V35" s="24" t="n">
        <f aca="false">IF($A35="",0,N(INDEX('In gebruik'!$R:$R,ROW()+(-3))))</f>
        <v>0</v>
      </c>
      <c r="W35" s="24" t="n">
        <f aca="false">IF($A35="",0,N(INDEX('In gebruik'!$S:$S,ROW()+(-3))))</f>
        <v>0</v>
      </c>
      <c r="X35" s="21" t="n">
        <f aca="false">IF(W35&gt;0,N(INDEX('In gebruik'!$T:$T,ROW()+(-3))),0)</f>
        <v>0</v>
      </c>
      <c r="Y35" s="24" t="n">
        <f aca="false">IF(W35&gt;0,IF(N(INDEX('In gebruik'!$P:$P,ROW()+(-3)))&gt;0,N(INDEX('In gebruik'!$P:$P,ROW()+(-3))),p_Lease),0)</f>
        <v>0</v>
      </c>
      <c r="AA35" s="23" t="n">
        <f aca="false">IF($Q35+$W35=0,0,IF(AA$7=$I35,$K35+$L35+$M35+$P35,0)+IF(AA$7=$O35,$N35,0)+IF(AA$7=$X35,$W35,0))</f>
        <v>0</v>
      </c>
      <c r="AB35" s="23" t="n">
        <f aca="false">IF($Q35+$W35=0,0,IF(AB$7=$I35,$K35+$L35+$M35+$P35,0)+IF(AB$7=$O35,$N35,0)+IF(AB$7=$X35,$W35,0))</f>
        <v>0</v>
      </c>
      <c r="AC35" s="23" t="n">
        <f aca="false">IF($Q35+$W35=0,0,IF(AC$7=$I35,$K35+$L35+$M35+$P35,0)+IF(AC$7=$O35,$N35,0)+IF(AC$7=$X35,$W35,0))</f>
        <v>0</v>
      </c>
      <c r="AD35" s="23" t="n">
        <f aca="false">IF($Q35+$W35=0,0,IF(AD$7=$I35,$K35+$L35+$M35+$P35,0)+IF(AD$7=$O35,$N35,0)+IF(AD$7=$X35,$W35,0))</f>
        <v>0</v>
      </c>
      <c r="AE35" s="23" t="n">
        <f aca="false">IF($Q35+$W35=0,0,IF(AE$7=$I35,$K35+$L35+$M35+$P35,0)+IF(AE$7=$O35,$N35,0)+IF(AE$7=$X35,$W35,0))</f>
        <v>0</v>
      </c>
      <c r="AF35" s="23" t="n">
        <f aca="false">IF($Q35+$W35=0,0,IF(AF$7=$I35,$K35+$L35+$M35+$P35,0)+IF(AF$7=$O35,$N35,0)+IF(AF$7=$X35,$W35,0))</f>
        <v>0</v>
      </c>
      <c r="AG35" s="23" t="n">
        <f aca="false">IF($Q35+$W35=0,0,IF(AG$7=$I35,$K35+$L35+$M35+$P35,0)+IF(AG$7=$O35,$N35,0)+IF(AG$7=$X35,$W35,0))</f>
        <v>0</v>
      </c>
      <c r="AH35" s="23" t="n">
        <f aca="false">IF($Q35+$W35=0,0,IF(AH$7=$I35,$K35+$L35+$M35+$P35,0)+IF(AH$7=$O35,$N35,0)+IF(AH$7=$X35,$W35,0))</f>
        <v>0</v>
      </c>
      <c r="AJ35" s="23" t="n">
        <f aca="false">IF(AND($S35&gt;0,AJ$7&gt;=$T35,AJ$7&lt;$T35+$R35),$S35,0)+IF(AND($W35&gt;0,AJ$7&gt;$X35,AJ$7&lt;=$X35+p_AfschrLK),($V35+$W35)/p_AfschrLK,0)</f>
        <v>0</v>
      </c>
      <c r="AK35" s="23" t="n">
        <f aca="false">IF(AND($S35&gt;0,AK$7&gt;=$T35,AK$7&lt;$T35+$R35),$S35,0)+IF(AND($W35&gt;0,AK$7&gt;$X35,AK$7&lt;=$X35+p_AfschrLK),($V35+$W35)/p_AfschrLK,0)</f>
        <v>0</v>
      </c>
      <c r="AL35" s="23" t="n">
        <f aca="false">IF(AND($S35&gt;0,AL$7&gt;=$T35,AL$7&lt;$T35+$R35),$S35,0)+IF(AND($W35&gt;0,AL$7&gt;$X35,AL$7&lt;=$X35+p_AfschrLK),($V35+$W35)/p_AfschrLK,0)</f>
        <v>0</v>
      </c>
      <c r="AM35" s="23" t="n">
        <f aca="false">IF(AND($S35&gt;0,AM$7&gt;=$T35,AM$7&lt;$T35+$R35),$S35,0)+IF(AND($W35&gt;0,AM$7&gt;$X35,AM$7&lt;=$X35+p_AfschrLK),($V35+$W35)/p_AfschrLK,0)</f>
        <v>0</v>
      </c>
      <c r="AN35" s="23" t="n">
        <f aca="false">IF(AND($S35&gt;0,AN$7&gt;=$T35,AN$7&lt;$T35+$R35),$S35,0)+IF(AND($W35&gt;0,AN$7&gt;$X35,AN$7&lt;=$X35+p_AfschrLK),($V35+$W35)/p_AfschrLK,0)</f>
        <v>0</v>
      </c>
      <c r="AO35" s="23" t="n">
        <f aca="false">IF(AND($S35&gt;0,AO$7&gt;=$T35,AO$7&lt;$T35+$R35),$S35,0)+IF(AND($W35&gt;0,AO$7&gt;$X35,AO$7&lt;=$X35+p_AfschrLK),($V35+$W35)/p_AfschrLK,0)</f>
        <v>0</v>
      </c>
      <c r="AP35" s="23" t="n">
        <f aca="false">IF(AND($S35&gt;0,AP$7&gt;=$T35,AP$7&lt;$T35+$R35),$S35,0)+IF(AND($W35&gt;0,AP$7&gt;$X35,AP$7&lt;=$X35+p_AfschrLK),($V35+$W35)/p_AfschrLK,0)</f>
        <v>0</v>
      </c>
      <c r="AQ35" s="23" t="n">
        <f aca="false">IF(AND($S35&gt;0,AQ$7&gt;=$T35,AQ$7&lt;$T35+$R35),$S35,0)+IF(AND($W35&gt;0,AQ$7&gt;$X35,AQ$7&lt;=$X35+p_AfschrLK),($V35+$W35)/p_AfschrLK,0)</f>
        <v>0</v>
      </c>
    </row>
    <row r="36" customFormat="false" ht="15" hidden="false" customHeight="false" outlineLevel="0" collapsed="false">
      <c r="A36" s="20" t="str">
        <f aca="false">IF(INDEX('In gebruik'!$A:$A,ROW()+(-3))="","",INDEX('In gebruik'!$A:$A,ROW()+(-3)))</f>
        <v/>
      </c>
      <c r="B36" s="20" t="str">
        <f aca="false">IF($A36="","",INDEX('In gebruik'!$B:$B,ROW()+(-3))&amp;"")</f>
        <v/>
      </c>
      <c r="C36" s="20" t="str">
        <f aca="false">IF($A36="","",INDEX('In gebruik'!$H:$H,ROW()+(-3))&amp;"")</f>
        <v/>
      </c>
      <c r="D36" s="20" t="str">
        <f aca="false">IF($A36="","",INDEX('In gebruik'!$G:$G,ROW()+(-3))&amp;"")</f>
        <v/>
      </c>
      <c r="E36" s="20" t="str">
        <f aca="false">IF($A36="","",INDEX('In gebruik'!$U:$U,ROW()+(-3))&amp;"")</f>
        <v/>
      </c>
      <c r="F36" s="21" t="n">
        <f aca="false">IF($A36="",0,N(INDEX('In gebruik'!$J:$J,ROW()+(-3))))</f>
        <v>0</v>
      </c>
      <c r="G36" s="21" t="n">
        <f aca="false">IF($A36="",0,N(INDEX('In gebruik'!$K:$K,ROW()+(-3))))</f>
        <v>0</v>
      </c>
      <c r="H36" s="12" t="n">
        <f aca="false">IF(G36&gt;0,F36+G36-1,0)</f>
        <v>0</v>
      </c>
      <c r="I36" s="12" t="n">
        <f aca="false">IF($A36="",0,IF(N(INDEX('In gebruik'!$W:$W,ROW()+(-3)))&gt;0,N(INDEX('In gebruik'!$W:$W,ROW()+(-3))),IF(G36&gt;0,MAX(F36+G36,p_Start),0)))</f>
        <v>0</v>
      </c>
      <c r="J36" s="22" t="str">
        <f aca="false">IF($A36="","",IF(AND(G36&gt;0,F36+G36&lt;p_Start),"Over levensduur",IF(AND(I36&gt;0,I36&lt;=p_Start+3),"In begrotingsperiode","")))</f>
        <v/>
      </c>
      <c r="K36" s="23" t="n">
        <f aca="false">IF($E36="Lease-koop",p_Aanbet,0)</f>
        <v>0</v>
      </c>
      <c r="L36" s="23" t="n">
        <f aca="false">IF($E36="Lease-koop",p_Belet,0)</f>
        <v>0</v>
      </c>
      <c r="M36" s="23" t="n">
        <f aca="false">IF($E36="Lease-koop",p_Opbouw,0)</f>
        <v>0</v>
      </c>
      <c r="N36" s="23" t="n">
        <f aca="false">IF($E36="Lease-koop",p_Slot,0)</f>
        <v>0</v>
      </c>
      <c r="O36" s="12" t="n">
        <f aca="false">IF($E36="Lease-koop",I36+p_SlotJr,0)</f>
        <v>0</v>
      </c>
      <c r="P36" s="23" t="n">
        <f aca="false">IF($E36="Koop",N(INDEX('In gebruik'!$V:$V,ROW()+(-3))),0)</f>
        <v>0</v>
      </c>
      <c r="Q36" s="23" t="n">
        <f aca="false">K36+L36+M36+N36+P36</f>
        <v>0</v>
      </c>
      <c r="R36" s="12" t="n">
        <f aca="false">IF($E36="Lease-koop",p_AfschrLK,IF($E36="Koop",G36,0))</f>
        <v>0</v>
      </c>
      <c r="S36" s="23" t="n">
        <f aca="false">IF(R36&gt;0,Q36/R36,0)</f>
        <v>0</v>
      </c>
      <c r="T36" s="12" t="n">
        <f aca="false">IF($E36="Lease-koop",O36+1,IF($E36="Koop",I36+1,0))</f>
        <v>0</v>
      </c>
      <c r="U36" s="23" t="n">
        <f aca="false">IF($E36="Lease-koop",p_Lease,0)</f>
        <v>0</v>
      </c>
      <c r="V36" s="24" t="n">
        <f aca="false">IF($A36="",0,N(INDEX('In gebruik'!$R:$R,ROW()+(-3))))</f>
        <v>0</v>
      </c>
      <c r="W36" s="24" t="n">
        <f aca="false">IF($A36="",0,N(INDEX('In gebruik'!$S:$S,ROW()+(-3))))</f>
        <v>0</v>
      </c>
      <c r="X36" s="21" t="n">
        <f aca="false">IF(W36&gt;0,N(INDEX('In gebruik'!$T:$T,ROW()+(-3))),0)</f>
        <v>0</v>
      </c>
      <c r="Y36" s="24" t="n">
        <f aca="false">IF(W36&gt;0,IF(N(INDEX('In gebruik'!$P:$P,ROW()+(-3)))&gt;0,N(INDEX('In gebruik'!$P:$P,ROW()+(-3))),p_Lease),0)</f>
        <v>0</v>
      </c>
      <c r="AA36" s="23" t="n">
        <f aca="false">IF($Q36+$W36=0,0,IF(AA$7=$I36,$K36+$L36+$M36+$P36,0)+IF(AA$7=$O36,$N36,0)+IF(AA$7=$X36,$W36,0))</f>
        <v>0</v>
      </c>
      <c r="AB36" s="23" t="n">
        <f aca="false">IF($Q36+$W36=0,0,IF(AB$7=$I36,$K36+$L36+$M36+$P36,0)+IF(AB$7=$O36,$N36,0)+IF(AB$7=$X36,$W36,0))</f>
        <v>0</v>
      </c>
      <c r="AC36" s="23" t="n">
        <f aca="false">IF($Q36+$W36=0,0,IF(AC$7=$I36,$K36+$L36+$M36+$P36,0)+IF(AC$7=$O36,$N36,0)+IF(AC$7=$X36,$W36,0))</f>
        <v>0</v>
      </c>
      <c r="AD36" s="23" t="n">
        <f aca="false">IF($Q36+$W36=0,0,IF(AD$7=$I36,$K36+$L36+$M36+$P36,0)+IF(AD$7=$O36,$N36,0)+IF(AD$7=$X36,$W36,0))</f>
        <v>0</v>
      </c>
      <c r="AE36" s="23" t="n">
        <f aca="false">IF($Q36+$W36=0,0,IF(AE$7=$I36,$K36+$L36+$M36+$P36,0)+IF(AE$7=$O36,$N36,0)+IF(AE$7=$X36,$W36,0))</f>
        <v>0</v>
      </c>
      <c r="AF36" s="23" t="n">
        <f aca="false">IF($Q36+$W36=0,0,IF(AF$7=$I36,$K36+$L36+$M36+$P36,0)+IF(AF$7=$O36,$N36,0)+IF(AF$7=$X36,$W36,0))</f>
        <v>0</v>
      </c>
      <c r="AG36" s="23" t="n">
        <f aca="false">IF($Q36+$W36=0,0,IF(AG$7=$I36,$K36+$L36+$M36+$P36,0)+IF(AG$7=$O36,$N36,0)+IF(AG$7=$X36,$W36,0))</f>
        <v>0</v>
      </c>
      <c r="AH36" s="23" t="n">
        <f aca="false">IF($Q36+$W36=0,0,IF(AH$7=$I36,$K36+$L36+$M36+$P36,0)+IF(AH$7=$O36,$N36,0)+IF(AH$7=$X36,$W36,0))</f>
        <v>0</v>
      </c>
      <c r="AJ36" s="23" t="n">
        <f aca="false">IF(AND($S36&gt;0,AJ$7&gt;=$T36,AJ$7&lt;$T36+$R36),$S36,0)+IF(AND($W36&gt;0,AJ$7&gt;$X36,AJ$7&lt;=$X36+p_AfschrLK),($V36+$W36)/p_AfschrLK,0)</f>
        <v>0</v>
      </c>
      <c r="AK36" s="23" t="n">
        <f aca="false">IF(AND($S36&gt;0,AK$7&gt;=$T36,AK$7&lt;$T36+$R36),$S36,0)+IF(AND($W36&gt;0,AK$7&gt;$X36,AK$7&lt;=$X36+p_AfschrLK),($V36+$W36)/p_AfschrLK,0)</f>
        <v>0</v>
      </c>
      <c r="AL36" s="23" t="n">
        <f aca="false">IF(AND($S36&gt;0,AL$7&gt;=$T36,AL$7&lt;$T36+$R36),$S36,0)+IF(AND($W36&gt;0,AL$7&gt;$X36,AL$7&lt;=$X36+p_AfschrLK),($V36+$W36)/p_AfschrLK,0)</f>
        <v>0</v>
      </c>
      <c r="AM36" s="23" t="n">
        <f aca="false">IF(AND($S36&gt;0,AM$7&gt;=$T36,AM$7&lt;$T36+$R36),$S36,0)+IF(AND($W36&gt;0,AM$7&gt;$X36,AM$7&lt;=$X36+p_AfschrLK),($V36+$W36)/p_AfschrLK,0)</f>
        <v>0</v>
      </c>
      <c r="AN36" s="23" t="n">
        <f aca="false">IF(AND($S36&gt;0,AN$7&gt;=$T36,AN$7&lt;$T36+$R36),$S36,0)+IF(AND($W36&gt;0,AN$7&gt;$X36,AN$7&lt;=$X36+p_AfschrLK),($V36+$W36)/p_AfschrLK,0)</f>
        <v>0</v>
      </c>
      <c r="AO36" s="23" t="n">
        <f aca="false">IF(AND($S36&gt;0,AO$7&gt;=$T36,AO$7&lt;$T36+$R36),$S36,0)+IF(AND($W36&gt;0,AO$7&gt;$X36,AO$7&lt;=$X36+p_AfschrLK),($V36+$W36)/p_AfschrLK,0)</f>
        <v>0</v>
      </c>
      <c r="AP36" s="23" t="n">
        <f aca="false">IF(AND($S36&gt;0,AP$7&gt;=$T36,AP$7&lt;$T36+$R36),$S36,0)+IF(AND($W36&gt;0,AP$7&gt;$X36,AP$7&lt;=$X36+p_AfschrLK),($V36+$W36)/p_AfschrLK,0)</f>
        <v>0</v>
      </c>
      <c r="AQ36" s="23" t="n">
        <f aca="false">IF(AND($S36&gt;0,AQ$7&gt;=$T36,AQ$7&lt;$T36+$R36),$S36,0)+IF(AND($W36&gt;0,AQ$7&gt;$X36,AQ$7&lt;=$X36+p_AfschrLK),($V36+$W36)/p_AfschrLK,0)</f>
        <v>0</v>
      </c>
    </row>
    <row r="37" customFormat="false" ht="15" hidden="false" customHeight="false" outlineLevel="0" collapsed="false">
      <c r="A37" s="20" t="str">
        <f aca="false">IF(INDEX('In gebruik'!$A:$A,ROW()+(-3))="","",INDEX('In gebruik'!$A:$A,ROW()+(-3)))</f>
        <v/>
      </c>
      <c r="B37" s="20" t="str">
        <f aca="false">IF($A37="","",INDEX('In gebruik'!$B:$B,ROW()+(-3))&amp;"")</f>
        <v/>
      </c>
      <c r="C37" s="20" t="str">
        <f aca="false">IF($A37="","",INDEX('In gebruik'!$H:$H,ROW()+(-3))&amp;"")</f>
        <v/>
      </c>
      <c r="D37" s="20" t="str">
        <f aca="false">IF($A37="","",INDEX('In gebruik'!$G:$G,ROW()+(-3))&amp;"")</f>
        <v/>
      </c>
      <c r="E37" s="20" t="str">
        <f aca="false">IF($A37="","",INDEX('In gebruik'!$U:$U,ROW()+(-3))&amp;"")</f>
        <v/>
      </c>
      <c r="F37" s="21" t="n">
        <f aca="false">IF($A37="",0,N(INDEX('In gebruik'!$J:$J,ROW()+(-3))))</f>
        <v>0</v>
      </c>
      <c r="G37" s="21" t="n">
        <f aca="false">IF($A37="",0,N(INDEX('In gebruik'!$K:$K,ROW()+(-3))))</f>
        <v>0</v>
      </c>
      <c r="H37" s="12" t="n">
        <f aca="false">IF(G37&gt;0,F37+G37-1,0)</f>
        <v>0</v>
      </c>
      <c r="I37" s="12" t="n">
        <f aca="false">IF($A37="",0,IF(N(INDEX('In gebruik'!$W:$W,ROW()+(-3)))&gt;0,N(INDEX('In gebruik'!$W:$W,ROW()+(-3))),IF(G37&gt;0,MAX(F37+G37,p_Start),0)))</f>
        <v>0</v>
      </c>
      <c r="J37" s="22" t="str">
        <f aca="false">IF($A37="","",IF(AND(G37&gt;0,F37+G37&lt;p_Start),"Over levensduur",IF(AND(I37&gt;0,I37&lt;=p_Start+3),"In begrotingsperiode","")))</f>
        <v/>
      </c>
      <c r="K37" s="23" t="n">
        <f aca="false">IF($E37="Lease-koop",p_Aanbet,0)</f>
        <v>0</v>
      </c>
      <c r="L37" s="23" t="n">
        <f aca="false">IF($E37="Lease-koop",p_Belet,0)</f>
        <v>0</v>
      </c>
      <c r="M37" s="23" t="n">
        <f aca="false">IF($E37="Lease-koop",p_Opbouw,0)</f>
        <v>0</v>
      </c>
      <c r="N37" s="23" t="n">
        <f aca="false">IF($E37="Lease-koop",p_Slot,0)</f>
        <v>0</v>
      </c>
      <c r="O37" s="12" t="n">
        <f aca="false">IF($E37="Lease-koop",I37+p_SlotJr,0)</f>
        <v>0</v>
      </c>
      <c r="P37" s="23" t="n">
        <f aca="false">IF($E37="Koop",N(INDEX('In gebruik'!$V:$V,ROW()+(-3))),0)</f>
        <v>0</v>
      </c>
      <c r="Q37" s="23" t="n">
        <f aca="false">K37+L37+M37+N37+P37</f>
        <v>0</v>
      </c>
      <c r="R37" s="12" t="n">
        <f aca="false">IF($E37="Lease-koop",p_AfschrLK,IF($E37="Koop",G37,0))</f>
        <v>0</v>
      </c>
      <c r="S37" s="23" t="n">
        <f aca="false">IF(R37&gt;0,Q37/R37,0)</f>
        <v>0</v>
      </c>
      <c r="T37" s="12" t="n">
        <f aca="false">IF($E37="Lease-koop",O37+1,IF($E37="Koop",I37+1,0))</f>
        <v>0</v>
      </c>
      <c r="U37" s="23" t="n">
        <f aca="false">IF($E37="Lease-koop",p_Lease,0)</f>
        <v>0</v>
      </c>
      <c r="V37" s="24" t="n">
        <f aca="false">IF($A37="",0,N(INDEX('In gebruik'!$R:$R,ROW()+(-3))))</f>
        <v>0</v>
      </c>
      <c r="W37" s="24" t="n">
        <f aca="false">IF($A37="",0,N(INDEX('In gebruik'!$S:$S,ROW()+(-3))))</f>
        <v>0</v>
      </c>
      <c r="X37" s="21" t="n">
        <f aca="false">IF(W37&gt;0,N(INDEX('In gebruik'!$T:$T,ROW()+(-3))),0)</f>
        <v>0</v>
      </c>
      <c r="Y37" s="24" t="n">
        <f aca="false">IF(W37&gt;0,IF(N(INDEX('In gebruik'!$P:$P,ROW()+(-3)))&gt;0,N(INDEX('In gebruik'!$P:$P,ROW()+(-3))),p_Lease),0)</f>
        <v>0</v>
      </c>
      <c r="AA37" s="23" t="n">
        <f aca="false">IF($Q37+$W37=0,0,IF(AA$7=$I37,$K37+$L37+$M37+$P37,0)+IF(AA$7=$O37,$N37,0)+IF(AA$7=$X37,$W37,0))</f>
        <v>0</v>
      </c>
      <c r="AB37" s="23" t="n">
        <f aca="false">IF($Q37+$W37=0,0,IF(AB$7=$I37,$K37+$L37+$M37+$P37,0)+IF(AB$7=$O37,$N37,0)+IF(AB$7=$X37,$W37,0))</f>
        <v>0</v>
      </c>
      <c r="AC37" s="23" t="n">
        <f aca="false">IF($Q37+$W37=0,0,IF(AC$7=$I37,$K37+$L37+$M37+$P37,0)+IF(AC$7=$O37,$N37,0)+IF(AC$7=$X37,$W37,0))</f>
        <v>0</v>
      </c>
      <c r="AD37" s="23" t="n">
        <f aca="false">IF($Q37+$W37=0,0,IF(AD$7=$I37,$K37+$L37+$M37+$P37,0)+IF(AD$7=$O37,$N37,0)+IF(AD$7=$X37,$W37,0))</f>
        <v>0</v>
      </c>
      <c r="AE37" s="23" t="n">
        <f aca="false">IF($Q37+$W37=0,0,IF(AE$7=$I37,$K37+$L37+$M37+$P37,0)+IF(AE$7=$O37,$N37,0)+IF(AE$7=$X37,$W37,0))</f>
        <v>0</v>
      </c>
      <c r="AF37" s="23" t="n">
        <f aca="false">IF($Q37+$W37=0,0,IF(AF$7=$I37,$K37+$L37+$M37+$P37,0)+IF(AF$7=$O37,$N37,0)+IF(AF$7=$X37,$W37,0))</f>
        <v>0</v>
      </c>
      <c r="AG37" s="23" t="n">
        <f aca="false">IF($Q37+$W37=0,0,IF(AG$7=$I37,$K37+$L37+$M37+$P37,0)+IF(AG$7=$O37,$N37,0)+IF(AG$7=$X37,$W37,0))</f>
        <v>0</v>
      </c>
      <c r="AH37" s="23" t="n">
        <f aca="false">IF($Q37+$W37=0,0,IF(AH$7=$I37,$K37+$L37+$M37+$P37,0)+IF(AH$7=$O37,$N37,0)+IF(AH$7=$X37,$W37,0))</f>
        <v>0</v>
      </c>
      <c r="AJ37" s="23" t="n">
        <f aca="false">IF(AND($S37&gt;0,AJ$7&gt;=$T37,AJ$7&lt;$T37+$R37),$S37,0)+IF(AND($W37&gt;0,AJ$7&gt;$X37,AJ$7&lt;=$X37+p_AfschrLK),($V37+$W37)/p_AfschrLK,0)</f>
        <v>0</v>
      </c>
      <c r="AK37" s="23" t="n">
        <f aca="false">IF(AND($S37&gt;0,AK$7&gt;=$T37,AK$7&lt;$T37+$R37),$S37,0)+IF(AND($W37&gt;0,AK$7&gt;$X37,AK$7&lt;=$X37+p_AfschrLK),($V37+$W37)/p_AfschrLK,0)</f>
        <v>0</v>
      </c>
      <c r="AL37" s="23" t="n">
        <f aca="false">IF(AND($S37&gt;0,AL$7&gt;=$T37,AL$7&lt;$T37+$R37),$S37,0)+IF(AND($W37&gt;0,AL$7&gt;$X37,AL$7&lt;=$X37+p_AfschrLK),($V37+$W37)/p_AfschrLK,0)</f>
        <v>0</v>
      </c>
      <c r="AM37" s="23" t="n">
        <f aca="false">IF(AND($S37&gt;0,AM$7&gt;=$T37,AM$7&lt;$T37+$R37),$S37,0)+IF(AND($W37&gt;0,AM$7&gt;$X37,AM$7&lt;=$X37+p_AfschrLK),($V37+$W37)/p_AfschrLK,0)</f>
        <v>0</v>
      </c>
      <c r="AN37" s="23" t="n">
        <f aca="false">IF(AND($S37&gt;0,AN$7&gt;=$T37,AN$7&lt;$T37+$R37),$S37,0)+IF(AND($W37&gt;0,AN$7&gt;$X37,AN$7&lt;=$X37+p_AfschrLK),($V37+$W37)/p_AfschrLK,0)</f>
        <v>0</v>
      </c>
      <c r="AO37" s="23" t="n">
        <f aca="false">IF(AND($S37&gt;0,AO$7&gt;=$T37,AO$7&lt;$T37+$R37),$S37,0)+IF(AND($W37&gt;0,AO$7&gt;$X37,AO$7&lt;=$X37+p_AfschrLK),($V37+$W37)/p_AfschrLK,0)</f>
        <v>0</v>
      </c>
      <c r="AP37" s="23" t="n">
        <f aca="false">IF(AND($S37&gt;0,AP$7&gt;=$T37,AP$7&lt;$T37+$R37),$S37,0)+IF(AND($W37&gt;0,AP$7&gt;$X37,AP$7&lt;=$X37+p_AfschrLK),($V37+$W37)/p_AfschrLK,0)</f>
        <v>0</v>
      </c>
      <c r="AQ37" s="23" t="n">
        <f aca="false">IF(AND($S37&gt;0,AQ$7&gt;=$T37,AQ$7&lt;$T37+$R37),$S37,0)+IF(AND($W37&gt;0,AQ$7&gt;$X37,AQ$7&lt;=$X37+p_AfschrLK),($V37+$W37)/p_AfschrLK,0)</f>
        <v>0</v>
      </c>
    </row>
    <row r="38" customFormat="false" ht="15" hidden="false" customHeight="false" outlineLevel="0" collapsed="false">
      <c r="A38" s="20" t="str">
        <f aca="false">IF(INDEX('In gebruik'!$A:$A,ROW()+(-3))="","",INDEX('In gebruik'!$A:$A,ROW()+(-3)))</f>
        <v/>
      </c>
      <c r="B38" s="20" t="str">
        <f aca="false">IF($A38="","",INDEX('In gebruik'!$B:$B,ROW()+(-3))&amp;"")</f>
        <v/>
      </c>
      <c r="C38" s="20" t="str">
        <f aca="false">IF($A38="","",INDEX('In gebruik'!$H:$H,ROW()+(-3))&amp;"")</f>
        <v/>
      </c>
      <c r="D38" s="20" t="str">
        <f aca="false">IF($A38="","",INDEX('In gebruik'!$G:$G,ROW()+(-3))&amp;"")</f>
        <v/>
      </c>
      <c r="E38" s="20" t="str">
        <f aca="false">IF($A38="","",INDEX('In gebruik'!$U:$U,ROW()+(-3))&amp;"")</f>
        <v/>
      </c>
      <c r="F38" s="21" t="n">
        <f aca="false">IF($A38="",0,N(INDEX('In gebruik'!$J:$J,ROW()+(-3))))</f>
        <v>0</v>
      </c>
      <c r="G38" s="21" t="n">
        <f aca="false">IF($A38="",0,N(INDEX('In gebruik'!$K:$K,ROW()+(-3))))</f>
        <v>0</v>
      </c>
      <c r="H38" s="12" t="n">
        <f aca="false">IF(G38&gt;0,F38+G38-1,0)</f>
        <v>0</v>
      </c>
      <c r="I38" s="12" t="n">
        <f aca="false">IF($A38="",0,IF(N(INDEX('In gebruik'!$W:$W,ROW()+(-3)))&gt;0,N(INDEX('In gebruik'!$W:$W,ROW()+(-3))),IF(G38&gt;0,MAX(F38+G38,p_Start),0)))</f>
        <v>0</v>
      </c>
      <c r="J38" s="22" t="str">
        <f aca="false">IF($A38="","",IF(AND(G38&gt;0,F38+G38&lt;p_Start),"Over levensduur",IF(AND(I38&gt;0,I38&lt;=p_Start+3),"In begrotingsperiode","")))</f>
        <v/>
      </c>
      <c r="K38" s="23" t="n">
        <f aca="false">IF($E38="Lease-koop",p_Aanbet,0)</f>
        <v>0</v>
      </c>
      <c r="L38" s="23" t="n">
        <f aca="false">IF($E38="Lease-koop",p_Belet,0)</f>
        <v>0</v>
      </c>
      <c r="M38" s="23" t="n">
        <f aca="false">IF($E38="Lease-koop",p_Opbouw,0)</f>
        <v>0</v>
      </c>
      <c r="N38" s="23" t="n">
        <f aca="false">IF($E38="Lease-koop",p_Slot,0)</f>
        <v>0</v>
      </c>
      <c r="O38" s="12" t="n">
        <f aca="false">IF($E38="Lease-koop",I38+p_SlotJr,0)</f>
        <v>0</v>
      </c>
      <c r="P38" s="23" t="n">
        <f aca="false">IF($E38="Koop",N(INDEX('In gebruik'!$V:$V,ROW()+(-3))),0)</f>
        <v>0</v>
      </c>
      <c r="Q38" s="23" t="n">
        <f aca="false">K38+L38+M38+N38+P38</f>
        <v>0</v>
      </c>
      <c r="R38" s="12" t="n">
        <f aca="false">IF($E38="Lease-koop",p_AfschrLK,IF($E38="Koop",G38,0))</f>
        <v>0</v>
      </c>
      <c r="S38" s="23" t="n">
        <f aca="false">IF(R38&gt;0,Q38/R38,0)</f>
        <v>0</v>
      </c>
      <c r="T38" s="12" t="n">
        <f aca="false">IF($E38="Lease-koop",O38+1,IF($E38="Koop",I38+1,0))</f>
        <v>0</v>
      </c>
      <c r="U38" s="23" t="n">
        <f aca="false">IF($E38="Lease-koop",p_Lease,0)</f>
        <v>0</v>
      </c>
      <c r="V38" s="24" t="n">
        <f aca="false">IF($A38="",0,N(INDEX('In gebruik'!$R:$R,ROW()+(-3))))</f>
        <v>0</v>
      </c>
      <c r="W38" s="24" t="n">
        <f aca="false">IF($A38="",0,N(INDEX('In gebruik'!$S:$S,ROW()+(-3))))</f>
        <v>0</v>
      </c>
      <c r="X38" s="21" t="n">
        <f aca="false">IF(W38&gt;0,N(INDEX('In gebruik'!$T:$T,ROW()+(-3))),0)</f>
        <v>0</v>
      </c>
      <c r="Y38" s="24" t="n">
        <f aca="false">IF(W38&gt;0,IF(N(INDEX('In gebruik'!$P:$P,ROW()+(-3)))&gt;0,N(INDEX('In gebruik'!$P:$P,ROW()+(-3))),p_Lease),0)</f>
        <v>0</v>
      </c>
      <c r="AA38" s="23" t="n">
        <f aca="false">IF($Q38+$W38=0,0,IF(AA$7=$I38,$K38+$L38+$M38+$P38,0)+IF(AA$7=$O38,$N38,0)+IF(AA$7=$X38,$W38,0))</f>
        <v>0</v>
      </c>
      <c r="AB38" s="23" t="n">
        <f aca="false">IF($Q38+$W38=0,0,IF(AB$7=$I38,$K38+$L38+$M38+$P38,0)+IF(AB$7=$O38,$N38,0)+IF(AB$7=$X38,$W38,0))</f>
        <v>0</v>
      </c>
      <c r="AC38" s="23" t="n">
        <f aca="false">IF($Q38+$W38=0,0,IF(AC$7=$I38,$K38+$L38+$M38+$P38,0)+IF(AC$7=$O38,$N38,0)+IF(AC$7=$X38,$W38,0))</f>
        <v>0</v>
      </c>
      <c r="AD38" s="23" t="n">
        <f aca="false">IF($Q38+$W38=0,0,IF(AD$7=$I38,$K38+$L38+$M38+$P38,0)+IF(AD$7=$O38,$N38,0)+IF(AD$7=$X38,$W38,0))</f>
        <v>0</v>
      </c>
      <c r="AE38" s="23" t="n">
        <f aca="false">IF($Q38+$W38=0,0,IF(AE$7=$I38,$K38+$L38+$M38+$P38,0)+IF(AE$7=$O38,$N38,0)+IF(AE$7=$X38,$W38,0))</f>
        <v>0</v>
      </c>
      <c r="AF38" s="23" t="n">
        <f aca="false">IF($Q38+$W38=0,0,IF(AF$7=$I38,$K38+$L38+$M38+$P38,0)+IF(AF$7=$O38,$N38,0)+IF(AF$7=$X38,$W38,0))</f>
        <v>0</v>
      </c>
      <c r="AG38" s="23" t="n">
        <f aca="false">IF($Q38+$W38=0,0,IF(AG$7=$I38,$K38+$L38+$M38+$P38,0)+IF(AG$7=$O38,$N38,0)+IF(AG$7=$X38,$W38,0))</f>
        <v>0</v>
      </c>
      <c r="AH38" s="23" t="n">
        <f aca="false">IF($Q38+$W38=0,0,IF(AH$7=$I38,$K38+$L38+$M38+$P38,0)+IF(AH$7=$O38,$N38,0)+IF(AH$7=$X38,$W38,0))</f>
        <v>0</v>
      </c>
      <c r="AJ38" s="23" t="n">
        <f aca="false">IF(AND($S38&gt;0,AJ$7&gt;=$T38,AJ$7&lt;$T38+$R38),$S38,0)+IF(AND($W38&gt;0,AJ$7&gt;$X38,AJ$7&lt;=$X38+p_AfschrLK),($V38+$W38)/p_AfschrLK,0)</f>
        <v>0</v>
      </c>
      <c r="AK38" s="23" t="n">
        <f aca="false">IF(AND($S38&gt;0,AK$7&gt;=$T38,AK$7&lt;$T38+$R38),$S38,0)+IF(AND($W38&gt;0,AK$7&gt;$X38,AK$7&lt;=$X38+p_AfschrLK),($V38+$W38)/p_AfschrLK,0)</f>
        <v>0</v>
      </c>
      <c r="AL38" s="23" t="n">
        <f aca="false">IF(AND($S38&gt;0,AL$7&gt;=$T38,AL$7&lt;$T38+$R38),$S38,0)+IF(AND($W38&gt;0,AL$7&gt;$X38,AL$7&lt;=$X38+p_AfschrLK),($V38+$W38)/p_AfschrLK,0)</f>
        <v>0</v>
      </c>
      <c r="AM38" s="23" t="n">
        <f aca="false">IF(AND($S38&gt;0,AM$7&gt;=$T38,AM$7&lt;$T38+$R38),$S38,0)+IF(AND($W38&gt;0,AM$7&gt;$X38,AM$7&lt;=$X38+p_AfschrLK),($V38+$W38)/p_AfschrLK,0)</f>
        <v>0</v>
      </c>
      <c r="AN38" s="23" t="n">
        <f aca="false">IF(AND($S38&gt;0,AN$7&gt;=$T38,AN$7&lt;$T38+$R38),$S38,0)+IF(AND($W38&gt;0,AN$7&gt;$X38,AN$7&lt;=$X38+p_AfschrLK),($V38+$W38)/p_AfschrLK,0)</f>
        <v>0</v>
      </c>
      <c r="AO38" s="23" t="n">
        <f aca="false">IF(AND($S38&gt;0,AO$7&gt;=$T38,AO$7&lt;$T38+$R38),$S38,0)+IF(AND($W38&gt;0,AO$7&gt;$X38,AO$7&lt;=$X38+p_AfschrLK),($V38+$W38)/p_AfschrLK,0)</f>
        <v>0</v>
      </c>
      <c r="AP38" s="23" t="n">
        <f aca="false">IF(AND($S38&gt;0,AP$7&gt;=$T38,AP$7&lt;$T38+$R38),$S38,0)+IF(AND($W38&gt;0,AP$7&gt;$X38,AP$7&lt;=$X38+p_AfschrLK),($V38+$W38)/p_AfschrLK,0)</f>
        <v>0</v>
      </c>
      <c r="AQ38" s="23" t="n">
        <f aca="false">IF(AND($S38&gt;0,AQ$7&gt;=$T38,AQ$7&lt;$T38+$R38),$S38,0)+IF(AND($W38&gt;0,AQ$7&gt;$X38,AQ$7&lt;=$X38+p_AfschrLK),($V38+$W38)/p_AfschrLK,0)</f>
        <v>0</v>
      </c>
    </row>
    <row r="39" customFormat="false" ht="15" hidden="false" customHeight="false" outlineLevel="0" collapsed="false">
      <c r="A39" s="20" t="str">
        <f aca="false">IF(INDEX('In gebruik'!$A:$A,ROW()+(-3))="","",INDEX('In gebruik'!$A:$A,ROW()+(-3)))</f>
        <v/>
      </c>
      <c r="B39" s="20" t="str">
        <f aca="false">IF($A39="","",INDEX('In gebruik'!$B:$B,ROW()+(-3))&amp;"")</f>
        <v/>
      </c>
      <c r="C39" s="20" t="str">
        <f aca="false">IF($A39="","",INDEX('In gebruik'!$H:$H,ROW()+(-3))&amp;"")</f>
        <v/>
      </c>
      <c r="D39" s="20" t="str">
        <f aca="false">IF($A39="","",INDEX('In gebruik'!$G:$G,ROW()+(-3))&amp;"")</f>
        <v/>
      </c>
      <c r="E39" s="20" t="str">
        <f aca="false">IF($A39="","",INDEX('In gebruik'!$U:$U,ROW()+(-3))&amp;"")</f>
        <v/>
      </c>
      <c r="F39" s="21" t="n">
        <f aca="false">IF($A39="",0,N(INDEX('In gebruik'!$J:$J,ROW()+(-3))))</f>
        <v>0</v>
      </c>
      <c r="G39" s="21" t="n">
        <f aca="false">IF($A39="",0,N(INDEX('In gebruik'!$K:$K,ROW()+(-3))))</f>
        <v>0</v>
      </c>
      <c r="H39" s="12" t="n">
        <f aca="false">IF(G39&gt;0,F39+G39-1,0)</f>
        <v>0</v>
      </c>
      <c r="I39" s="12" t="n">
        <f aca="false">IF($A39="",0,IF(N(INDEX('In gebruik'!$W:$W,ROW()+(-3)))&gt;0,N(INDEX('In gebruik'!$W:$W,ROW()+(-3))),IF(G39&gt;0,MAX(F39+G39,p_Start),0)))</f>
        <v>0</v>
      </c>
      <c r="J39" s="22" t="str">
        <f aca="false">IF($A39="","",IF(AND(G39&gt;0,F39+G39&lt;p_Start),"Over levensduur",IF(AND(I39&gt;0,I39&lt;=p_Start+3),"In begrotingsperiode","")))</f>
        <v/>
      </c>
      <c r="K39" s="23" t="n">
        <f aca="false">IF($E39="Lease-koop",p_Aanbet,0)</f>
        <v>0</v>
      </c>
      <c r="L39" s="23" t="n">
        <f aca="false">IF($E39="Lease-koop",p_Belet,0)</f>
        <v>0</v>
      </c>
      <c r="M39" s="23" t="n">
        <f aca="false">IF($E39="Lease-koop",p_Opbouw,0)</f>
        <v>0</v>
      </c>
      <c r="N39" s="23" t="n">
        <f aca="false">IF($E39="Lease-koop",p_Slot,0)</f>
        <v>0</v>
      </c>
      <c r="O39" s="12" t="n">
        <f aca="false">IF($E39="Lease-koop",I39+p_SlotJr,0)</f>
        <v>0</v>
      </c>
      <c r="P39" s="23" t="n">
        <f aca="false">IF($E39="Koop",N(INDEX('In gebruik'!$V:$V,ROW()+(-3))),0)</f>
        <v>0</v>
      </c>
      <c r="Q39" s="23" t="n">
        <f aca="false">K39+L39+M39+N39+P39</f>
        <v>0</v>
      </c>
      <c r="R39" s="12" t="n">
        <f aca="false">IF($E39="Lease-koop",p_AfschrLK,IF($E39="Koop",G39,0))</f>
        <v>0</v>
      </c>
      <c r="S39" s="23" t="n">
        <f aca="false">IF(R39&gt;0,Q39/R39,0)</f>
        <v>0</v>
      </c>
      <c r="T39" s="12" t="n">
        <f aca="false">IF($E39="Lease-koop",O39+1,IF($E39="Koop",I39+1,0))</f>
        <v>0</v>
      </c>
      <c r="U39" s="23" t="n">
        <f aca="false">IF($E39="Lease-koop",p_Lease,0)</f>
        <v>0</v>
      </c>
      <c r="V39" s="24" t="n">
        <f aca="false">IF($A39="",0,N(INDEX('In gebruik'!$R:$R,ROW()+(-3))))</f>
        <v>0</v>
      </c>
      <c r="W39" s="24" t="n">
        <f aca="false">IF($A39="",0,N(INDEX('In gebruik'!$S:$S,ROW()+(-3))))</f>
        <v>0</v>
      </c>
      <c r="X39" s="21" t="n">
        <f aca="false">IF(W39&gt;0,N(INDEX('In gebruik'!$T:$T,ROW()+(-3))),0)</f>
        <v>0</v>
      </c>
      <c r="Y39" s="24" t="n">
        <f aca="false">IF(W39&gt;0,IF(N(INDEX('In gebruik'!$P:$P,ROW()+(-3)))&gt;0,N(INDEX('In gebruik'!$P:$P,ROW()+(-3))),p_Lease),0)</f>
        <v>0</v>
      </c>
      <c r="AA39" s="23" t="n">
        <f aca="false">IF($Q39+$W39=0,0,IF(AA$7=$I39,$K39+$L39+$M39+$P39,0)+IF(AA$7=$O39,$N39,0)+IF(AA$7=$X39,$W39,0))</f>
        <v>0</v>
      </c>
      <c r="AB39" s="23" t="n">
        <f aca="false">IF($Q39+$W39=0,0,IF(AB$7=$I39,$K39+$L39+$M39+$P39,0)+IF(AB$7=$O39,$N39,0)+IF(AB$7=$X39,$W39,0))</f>
        <v>0</v>
      </c>
      <c r="AC39" s="23" t="n">
        <f aca="false">IF($Q39+$W39=0,0,IF(AC$7=$I39,$K39+$L39+$M39+$P39,0)+IF(AC$7=$O39,$N39,0)+IF(AC$7=$X39,$W39,0))</f>
        <v>0</v>
      </c>
      <c r="AD39" s="23" t="n">
        <f aca="false">IF($Q39+$W39=0,0,IF(AD$7=$I39,$K39+$L39+$M39+$P39,0)+IF(AD$7=$O39,$N39,0)+IF(AD$7=$X39,$W39,0))</f>
        <v>0</v>
      </c>
      <c r="AE39" s="23" t="n">
        <f aca="false">IF($Q39+$W39=0,0,IF(AE$7=$I39,$K39+$L39+$M39+$P39,0)+IF(AE$7=$O39,$N39,0)+IF(AE$7=$X39,$W39,0))</f>
        <v>0</v>
      </c>
      <c r="AF39" s="23" t="n">
        <f aca="false">IF($Q39+$W39=0,0,IF(AF$7=$I39,$K39+$L39+$M39+$P39,0)+IF(AF$7=$O39,$N39,0)+IF(AF$7=$X39,$W39,0))</f>
        <v>0</v>
      </c>
      <c r="AG39" s="23" t="n">
        <f aca="false">IF($Q39+$W39=0,0,IF(AG$7=$I39,$K39+$L39+$M39+$P39,0)+IF(AG$7=$O39,$N39,0)+IF(AG$7=$X39,$W39,0))</f>
        <v>0</v>
      </c>
      <c r="AH39" s="23" t="n">
        <f aca="false">IF($Q39+$W39=0,0,IF(AH$7=$I39,$K39+$L39+$M39+$P39,0)+IF(AH$7=$O39,$N39,0)+IF(AH$7=$X39,$W39,0))</f>
        <v>0</v>
      </c>
      <c r="AJ39" s="23" t="n">
        <f aca="false">IF(AND($S39&gt;0,AJ$7&gt;=$T39,AJ$7&lt;$T39+$R39),$S39,0)+IF(AND($W39&gt;0,AJ$7&gt;$X39,AJ$7&lt;=$X39+p_AfschrLK),($V39+$W39)/p_AfschrLK,0)</f>
        <v>0</v>
      </c>
      <c r="AK39" s="23" t="n">
        <f aca="false">IF(AND($S39&gt;0,AK$7&gt;=$T39,AK$7&lt;$T39+$R39),$S39,0)+IF(AND($W39&gt;0,AK$7&gt;$X39,AK$7&lt;=$X39+p_AfschrLK),($V39+$W39)/p_AfschrLK,0)</f>
        <v>0</v>
      </c>
      <c r="AL39" s="23" t="n">
        <f aca="false">IF(AND($S39&gt;0,AL$7&gt;=$T39,AL$7&lt;$T39+$R39),$S39,0)+IF(AND($W39&gt;0,AL$7&gt;$X39,AL$7&lt;=$X39+p_AfschrLK),($V39+$W39)/p_AfschrLK,0)</f>
        <v>0</v>
      </c>
      <c r="AM39" s="23" t="n">
        <f aca="false">IF(AND($S39&gt;0,AM$7&gt;=$T39,AM$7&lt;$T39+$R39),$S39,0)+IF(AND($W39&gt;0,AM$7&gt;$X39,AM$7&lt;=$X39+p_AfschrLK),($V39+$W39)/p_AfschrLK,0)</f>
        <v>0</v>
      </c>
      <c r="AN39" s="23" t="n">
        <f aca="false">IF(AND($S39&gt;0,AN$7&gt;=$T39,AN$7&lt;$T39+$R39),$S39,0)+IF(AND($W39&gt;0,AN$7&gt;$X39,AN$7&lt;=$X39+p_AfschrLK),($V39+$W39)/p_AfschrLK,0)</f>
        <v>0</v>
      </c>
      <c r="AO39" s="23" t="n">
        <f aca="false">IF(AND($S39&gt;0,AO$7&gt;=$T39,AO$7&lt;$T39+$R39),$S39,0)+IF(AND($W39&gt;0,AO$7&gt;$X39,AO$7&lt;=$X39+p_AfschrLK),($V39+$W39)/p_AfschrLK,0)</f>
        <v>0</v>
      </c>
      <c r="AP39" s="23" t="n">
        <f aca="false">IF(AND($S39&gt;0,AP$7&gt;=$T39,AP$7&lt;$T39+$R39),$S39,0)+IF(AND($W39&gt;0,AP$7&gt;$X39,AP$7&lt;=$X39+p_AfschrLK),($V39+$W39)/p_AfschrLK,0)</f>
        <v>0</v>
      </c>
      <c r="AQ39" s="23" t="n">
        <f aca="false">IF(AND($S39&gt;0,AQ$7&gt;=$T39,AQ$7&lt;$T39+$R39),$S39,0)+IF(AND($W39&gt;0,AQ$7&gt;$X39,AQ$7&lt;=$X39+p_AfschrLK),($V39+$W39)/p_AfschrLK,0)</f>
        <v>0</v>
      </c>
    </row>
    <row r="40" customFormat="false" ht="15" hidden="false" customHeight="false" outlineLevel="0" collapsed="false">
      <c r="A40" s="20" t="str">
        <f aca="false">IF(INDEX('In gebruik'!$A:$A,ROW()+(-3))="","",INDEX('In gebruik'!$A:$A,ROW()+(-3)))</f>
        <v/>
      </c>
      <c r="B40" s="20" t="str">
        <f aca="false">IF($A40="","",INDEX('In gebruik'!$B:$B,ROW()+(-3))&amp;"")</f>
        <v/>
      </c>
      <c r="C40" s="20" t="str">
        <f aca="false">IF($A40="","",INDEX('In gebruik'!$H:$H,ROW()+(-3))&amp;"")</f>
        <v/>
      </c>
      <c r="D40" s="20" t="str">
        <f aca="false">IF($A40="","",INDEX('In gebruik'!$G:$G,ROW()+(-3))&amp;"")</f>
        <v/>
      </c>
      <c r="E40" s="20" t="str">
        <f aca="false">IF($A40="","",INDEX('In gebruik'!$U:$U,ROW()+(-3))&amp;"")</f>
        <v/>
      </c>
      <c r="F40" s="21" t="n">
        <f aca="false">IF($A40="",0,N(INDEX('In gebruik'!$J:$J,ROW()+(-3))))</f>
        <v>0</v>
      </c>
      <c r="G40" s="21" t="n">
        <f aca="false">IF($A40="",0,N(INDEX('In gebruik'!$K:$K,ROW()+(-3))))</f>
        <v>0</v>
      </c>
      <c r="H40" s="12" t="n">
        <f aca="false">IF(G40&gt;0,F40+G40-1,0)</f>
        <v>0</v>
      </c>
      <c r="I40" s="12" t="n">
        <f aca="false">IF($A40="",0,IF(N(INDEX('In gebruik'!$W:$W,ROW()+(-3)))&gt;0,N(INDEX('In gebruik'!$W:$W,ROW()+(-3))),IF(G40&gt;0,MAX(F40+G40,p_Start),0)))</f>
        <v>0</v>
      </c>
      <c r="J40" s="22" t="str">
        <f aca="false">IF($A40="","",IF(AND(G40&gt;0,F40+G40&lt;p_Start),"Over levensduur",IF(AND(I40&gt;0,I40&lt;=p_Start+3),"In begrotingsperiode","")))</f>
        <v/>
      </c>
      <c r="K40" s="23" t="n">
        <f aca="false">IF($E40="Lease-koop",p_Aanbet,0)</f>
        <v>0</v>
      </c>
      <c r="L40" s="23" t="n">
        <f aca="false">IF($E40="Lease-koop",p_Belet,0)</f>
        <v>0</v>
      </c>
      <c r="M40" s="23" t="n">
        <f aca="false">IF($E40="Lease-koop",p_Opbouw,0)</f>
        <v>0</v>
      </c>
      <c r="N40" s="23" t="n">
        <f aca="false">IF($E40="Lease-koop",p_Slot,0)</f>
        <v>0</v>
      </c>
      <c r="O40" s="12" t="n">
        <f aca="false">IF($E40="Lease-koop",I40+p_SlotJr,0)</f>
        <v>0</v>
      </c>
      <c r="P40" s="23" t="n">
        <f aca="false">IF($E40="Koop",N(INDEX('In gebruik'!$V:$V,ROW()+(-3))),0)</f>
        <v>0</v>
      </c>
      <c r="Q40" s="23" t="n">
        <f aca="false">K40+L40+M40+N40+P40</f>
        <v>0</v>
      </c>
      <c r="R40" s="12" t="n">
        <f aca="false">IF($E40="Lease-koop",p_AfschrLK,IF($E40="Koop",G40,0))</f>
        <v>0</v>
      </c>
      <c r="S40" s="23" t="n">
        <f aca="false">IF(R40&gt;0,Q40/R40,0)</f>
        <v>0</v>
      </c>
      <c r="T40" s="12" t="n">
        <f aca="false">IF($E40="Lease-koop",O40+1,IF($E40="Koop",I40+1,0))</f>
        <v>0</v>
      </c>
      <c r="U40" s="23" t="n">
        <f aca="false">IF($E40="Lease-koop",p_Lease,0)</f>
        <v>0</v>
      </c>
      <c r="V40" s="24" t="n">
        <f aca="false">IF($A40="",0,N(INDEX('In gebruik'!$R:$R,ROW()+(-3))))</f>
        <v>0</v>
      </c>
      <c r="W40" s="24" t="n">
        <f aca="false">IF($A40="",0,N(INDEX('In gebruik'!$S:$S,ROW()+(-3))))</f>
        <v>0</v>
      </c>
      <c r="X40" s="21" t="n">
        <f aca="false">IF(W40&gt;0,N(INDEX('In gebruik'!$T:$T,ROW()+(-3))),0)</f>
        <v>0</v>
      </c>
      <c r="Y40" s="24" t="n">
        <f aca="false">IF(W40&gt;0,IF(N(INDEX('In gebruik'!$P:$P,ROW()+(-3)))&gt;0,N(INDEX('In gebruik'!$P:$P,ROW()+(-3))),p_Lease),0)</f>
        <v>0</v>
      </c>
      <c r="AA40" s="23" t="n">
        <f aca="false">IF($Q40+$W40=0,0,IF(AA$7=$I40,$K40+$L40+$M40+$P40,0)+IF(AA$7=$O40,$N40,0)+IF(AA$7=$X40,$W40,0))</f>
        <v>0</v>
      </c>
      <c r="AB40" s="23" t="n">
        <f aca="false">IF($Q40+$W40=0,0,IF(AB$7=$I40,$K40+$L40+$M40+$P40,0)+IF(AB$7=$O40,$N40,0)+IF(AB$7=$X40,$W40,0))</f>
        <v>0</v>
      </c>
      <c r="AC40" s="23" t="n">
        <f aca="false">IF($Q40+$W40=0,0,IF(AC$7=$I40,$K40+$L40+$M40+$P40,0)+IF(AC$7=$O40,$N40,0)+IF(AC$7=$X40,$W40,0))</f>
        <v>0</v>
      </c>
      <c r="AD40" s="23" t="n">
        <f aca="false">IF($Q40+$W40=0,0,IF(AD$7=$I40,$K40+$L40+$M40+$P40,0)+IF(AD$7=$O40,$N40,0)+IF(AD$7=$X40,$W40,0))</f>
        <v>0</v>
      </c>
      <c r="AE40" s="23" t="n">
        <f aca="false">IF($Q40+$W40=0,0,IF(AE$7=$I40,$K40+$L40+$M40+$P40,0)+IF(AE$7=$O40,$N40,0)+IF(AE$7=$X40,$W40,0))</f>
        <v>0</v>
      </c>
      <c r="AF40" s="23" t="n">
        <f aca="false">IF($Q40+$W40=0,0,IF(AF$7=$I40,$K40+$L40+$M40+$P40,0)+IF(AF$7=$O40,$N40,0)+IF(AF$7=$X40,$W40,0))</f>
        <v>0</v>
      </c>
      <c r="AG40" s="23" t="n">
        <f aca="false">IF($Q40+$W40=0,0,IF(AG$7=$I40,$K40+$L40+$M40+$P40,0)+IF(AG$7=$O40,$N40,0)+IF(AG$7=$X40,$W40,0))</f>
        <v>0</v>
      </c>
      <c r="AH40" s="23" t="n">
        <f aca="false">IF($Q40+$W40=0,0,IF(AH$7=$I40,$K40+$L40+$M40+$P40,0)+IF(AH$7=$O40,$N40,0)+IF(AH$7=$X40,$W40,0))</f>
        <v>0</v>
      </c>
      <c r="AJ40" s="23" t="n">
        <f aca="false">IF(AND($S40&gt;0,AJ$7&gt;=$T40,AJ$7&lt;$T40+$R40),$S40,0)+IF(AND($W40&gt;0,AJ$7&gt;$X40,AJ$7&lt;=$X40+p_AfschrLK),($V40+$W40)/p_AfschrLK,0)</f>
        <v>0</v>
      </c>
      <c r="AK40" s="23" t="n">
        <f aca="false">IF(AND($S40&gt;0,AK$7&gt;=$T40,AK$7&lt;$T40+$R40),$S40,0)+IF(AND($W40&gt;0,AK$7&gt;$X40,AK$7&lt;=$X40+p_AfschrLK),($V40+$W40)/p_AfschrLK,0)</f>
        <v>0</v>
      </c>
      <c r="AL40" s="23" t="n">
        <f aca="false">IF(AND($S40&gt;0,AL$7&gt;=$T40,AL$7&lt;$T40+$R40),$S40,0)+IF(AND($W40&gt;0,AL$7&gt;$X40,AL$7&lt;=$X40+p_AfschrLK),($V40+$W40)/p_AfschrLK,0)</f>
        <v>0</v>
      </c>
      <c r="AM40" s="23" t="n">
        <f aca="false">IF(AND($S40&gt;0,AM$7&gt;=$T40,AM$7&lt;$T40+$R40),$S40,0)+IF(AND($W40&gt;0,AM$7&gt;$X40,AM$7&lt;=$X40+p_AfschrLK),($V40+$W40)/p_AfschrLK,0)</f>
        <v>0</v>
      </c>
      <c r="AN40" s="23" t="n">
        <f aca="false">IF(AND($S40&gt;0,AN$7&gt;=$T40,AN$7&lt;$T40+$R40),$S40,0)+IF(AND($W40&gt;0,AN$7&gt;$X40,AN$7&lt;=$X40+p_AfschrLK),($V40+$W40)/p_AfschrLK,0)</f>
        <v>0</v>
      </c>
      <c r="AO40" s="23" t="n">
        <f aca="false">IF(AND($S40&gt;0,AO$7&gt;=$T40,AO$7&lt;$T40+$R40),$S40,0)+IF(AND($W40&gt;0,AO$7&gt;$X40,AO$7&lt;=$X40+p_AfschrLK),($V40+$W40)/p_AfschrLK,0)</f>
        <v>0</v>
      </c>
      <c r="AP40" s="23" t="n">
        <f aca="false">IF(AND($S40&gt;0,AP$7&gt;=$T40,AP$7&lt;$T40+$R40),$S40,0)+IF(AND($W40&gt;0,AP$7&gt;$X40,AP$7&lt;=$X40+p_AfschrLK),($V40+$W40)/p_AfschrLK,0)</f>
        <v>0</v>
      </c>
      <c r="AQ40" s="23" t="n">
        <f aca="false">IF(AND($S40&gt;0,AQ$7&gt;=$T40,AQ$7&lt;$T40+$R40),$S40,0)+IF(AND($W40&gt;0,AQ$7&gt;$X40,AQ$7&lt;=$X40+p_AfschrLK),($V40+$W40)/p_AfschrLK,0)</f>
        <v>0</v>
      </c>
    </row>
    <row r="41" customFormat="false" ht="15" hidden="false" customHeight="false" outlineLevel="0" collapsed="false">
      <c r="A41" s="20" t="str">
        <f aca="false">IF(INDEX('In gebruik'!$A:$A,ROW()+(-3))="","",INDEX('In gebruik'!$A:$A,ROW()+(-3)))</f>
        <v/>
      </c>
      <c r="B41" s="20" t="str">
        <f aca="false">IF($A41="","",INDEX('In gebruik'!$B:$B,ROW()+(-3))&amp;"")</f>
        <v/>
      </c>
      <c r="C41" s="20" t="str">
        <f aca="false">IF($A41="","",INDEX('In gebruik'!$H:$H,ROW()+(-3))&amp;"")</f>
        <v/>
      </c>
      <c r="D41" s="20" t="str">
        <f aca="false">IF($A41="","",INDEX('In gebruik'!$G:$G,ROW()+(-3))&amp;"")</f>
        <v/>
      </c>
      <c r="E41" s="20" t="str">
        <f aca="false">IF($A41="","",INDEX('In gebruik'!$U:$U,ROW()+(-3))&amp;"")</f>
        <v/>
      </c>
      <c r="F41" s="21" t="n">
        <f aca="false">IF($A41="",0,N(INDEX('In gebruik'!$J:$J,ROW()+(-3))))</f>
        <v>0</v>
      </c>
      <c r="G41" s="21" t="n">
        <f aca="false">IF($A41="",0,N(INDEX('In gebruik'!$K:$K,ROW()+(-3))))</f>
        <v>0</v>
      </c>
      <c r="H41" s="12" t="n">
        <f aca="false">IF(G41&gt;0,F41+G41-1,0)</f>
        <v>0</v>
      </c>
      <c r="I41" s="12" t="n">
        <f aca="false">IF($A41="",0,IF(N(INDEX('In gebruik'!$W:$W,ROW()+(-3)))&gt;0,N(INDEX('In gebruik'!$W:$W,ROW()+(-3))),IF(G41&gt;0,MAX(F41+G41,p_Start),0)))</f>
        <v>0</v>
      </c>
      <c r="J41" s="22" t="str">
        <f aca="false">IF($A41="","",IF(AND(G41&gt;0,F41+G41&lt;p_Start),"Over levensduur",IF(AND(I41&gt;0,I41&lt;=p_Start+3),"In begrotingsperiode","")))</f>
        <v/>
      </c>
      <c r="K41" s="23" t="n">
        <f aca="false">IF($E41="Lease-koop",p_Aanbet,0)</f>
        <v>0</v>
      </c>
      <c r="L41" s="23" t="n">
        <f aca="false">IF($E41="Lease-koop",p_Belet,0)</f>
        <v>0</v>
      </c>
      <c r="M41" s="23" t="n">
        <f aca="false">IF($E41="Lease-koop",p_Opbouw,0)</f>
        <v>0</v>
      </c>
      <c r="N41" s="23" t="n">
        <f aca="false">IF($E41="Lease-koop",p_Slot,0)</f>
        <v>0</v>
      </c>
      <c r="O41" s="12" t="n">
        <f aca="false">IF($E41="Lease-koop",I41+p_SlotJr,0)</f>
        <v>0</v>
      </c>
      <c r="P41" s="23" t="n">
        <f aca="false">IF($E41="Koop",N(INDEX('In gebruik'!$V:$V,ROW()+(-3))),0)</f>
        <v>0</v>
      </c>
      <c r="Q41" s="23" t="n">
        <f aca="false">K41+L41+M41+N41+P41</f>
        <v>0</v>
      </c>
      <c r="R41" s="12" t="n">
        <f aca="false">IF($E41="Lease-koop",p_AfschrLK,IF($E41="Koop",G41,0))</f>
        <v>0</v>
      </c>
      <c r="S41" s="23" t="n">
        <f aca="false">IF(R41&gt;0,Q41/R41,0)</f>
        <v>0</v>
      </c>
      <c r="T41" s="12" t="n">
        <f aca="false">IF($E41="Lease-koop",O41+1,IF($E41="Koop",I41+1,0))</f>
        <v>0</v>
      </c>
      <c r="U41" s="23" t="n">
        <f aca="false">IF($E41="Lease-koop",p_Lease,0)</f>
        <v>0</v>
      </c>
      <c r="V41" s="24" t="n">
        <f aca="false">IF($A41="",0,N(INDEX('In gebruik'!$R:$R,ROW()+(-3))))</f>
        <v>0</v>
      </c>
      <c r="W41" s="24" t="n">
        <f aca="false">IF($A41="",0,N(INDEX('In gebruik'!$S:$S,ROW()+(-3))))</f>
        <v>0</v>
      </c>
      <c r="X41" s="21" t="n">
        <f aca="false">IF(W41&gt;0,N(INDEX('In gebruik'!$T:$T,ROW()+(-3))),0)</f>
        <v>0</v>
      </c>
      <c r="Y41" s="24" t="n">
        <f aca="false">IF(W41&gt;0,IF(N(INDEX('In gebruik'!$P:$P,ROW()+(-3)))&gt;0,N(INDEX('In gebruik'!$P:$P,ROW()+(-3))),p_Lease),0)</f>
        <v>0</v>
      </c>
      <c r="AA41" s="23" t="n">
        <f aca="false">IF($Q41+$W41=0,0,IF(AA$7=$I41,$K41+$L41+$M41+$P41,0)+IF(AA$7=$O41,$N41,0)+IF(AA$7=$X41,$W41,0))</f>
        <v>0</v>
      </c>
      <c r="AB41" s="23" t="n">
        <f aca="false">IF($Q41+$W41=0,0,IF(AB$7=$I41,$K41+$L41+$M41+$P41,0)+IF(AB$7=$O41,$N41,0)+IF(AB$7=$X41,$W41,0))</f>
        <v>0</v>
      </c>
      <c r="AC41" s="23" t="n">
        <f aca="false">IF($Q41+$W41=0,0,IF(AC$7=$I41,$K41+$L41+$M41+$P41,0)+IF(AC$7=$O41,$N41,0)+IF(AC$7=$X41,$W41,0))</f>
        <v>0</v>
      </c>
      <c r="AD41" s="23" t="n">
        <f aca="false">IF($Q41+$W41=0,0,IF(AD$7=$I41,$K41+$L41+$M41+$P41,0)+IF(AD$7=$O41,$N41,0)+IF(AD$7=$X41,$W41,0))</f>
        <v>0</v>
      </c>
      <c r="AE41" s="23" t="n">
        <f aca="false">IF($Q41+$W41=0,0,IF(AE$7=$I41,$K41+$L41+$M41+$P41,0)+IF(AE$7=$O41,$N41,0)+IF(AE$7=$X41,$W41,0))</f>
        <v>0</v>
      </c>
      <c r="AF41" s="23" t="n">
        <f aca="false">IF($Q41+$W41=0,0,IF(AF$7=$I41,$K41+$L41+$M41+$P41,0)+IF(AF$7=$O41,$N41,0)+IF(AF$7=$X41,$W41,0))</f>
        <v>0</v>
      </c>
      <c r="AG41" s="23" t="n">
        <f aca="false">IF($Q41+$W41=0,0,IF(AG$7=$I41,$K41+$L41+$M41+$P41,0)+IF(AG$7=$O41,$N41,0)+IF(AG$7=$X41,$W41,0))</f>
        <v>0</v>
      </c>
      <c r="AH41" s="23" t="n">
        <f aca="false">IF($Q41+$W41=0,0,IF(AH$7=$I41,$K41+$L41+$M41+$P41,0)+IF(AH$7=$O41,$N41,0)+IF(AH$7=$X41,$W41,0))</f>
        <v>0</v>
      </c>
      <c r="AJ41" s="23" t="n">
        <f aca="false">IF(AND($S41&gt;0,AJ$7&gt;=$T41,AJ$7&lt;$T41+$R41),$S41,0)+IF(AND($W41&gt;0,AJ$7&gt;$X41,AJ$7&lt;=$X41+p_AfschrLK),($V41+$W41)/p_AfschrLK,0)</f>
        <v>0</v>
      </c>
      <c r="AK41" s="23" t="n">
        <f aca="false">IF(AND($S41&gt;0,AK$7&gt;=$T41,AK$7&lt;$T41+$R41),$S41,0)+IF(AND($W41&gt;0,AK$7&gt;$X41,AK$7&lt;=$X41+p_AfschrLK),($V41+$W41)/p_AfschrLK,0)</f>
        <v>0</v>
      </c>
      <c r="AL41" s="23" t="n">
        <f aca="false">IF(AND($S41&gt;0,AL$7&gt;=$T41,AL$7&lt;$T41+$R41),$S41,0)+IF(AND($W41&gt;0,AL$7&gt;$X41,AL$7&lt;=$X41+p_AfschrLK),($V41+$W41)/p_AfschrLK,0)</f>
        <v>0</v>
      </c>
      <c r="AM41" s="23" t="n">
        <f aca="false">IF(AND($S41&gt;0,AM$7&gt;=$T41,AM$7&lt;$T41+$R41),$S41,0)+IF(AND($W41&gt;0,AM$7&gt;$X41,AM$7&lt;=$X41+p_AfschrLK),($V41+$W41)/p_AfschrLK,0)</f>
        <v>0</v>
      </c>
      <c r="AN41" s="23" t="n">
        <f aca="false">IF(AND($S41&gt;0,AN$7&gt;=$T41,AN$7&lt;$T41+$R41),$S41,0)+IF(AND($W41&gt;0,AN$7&gt;$X41,AN$7&lt;=$X41+p_AfschrLK),($V41+$W41)/p_AfschrLK,0)</f>
        <v>0</v>
      </c>
      <c r="AO41" s="23" t="n">
        <f aca="false">IF(AND($S41&gt;0,AO$7&gt;=$T41,AO$7&lt;$T41+$R41),$S41,0)+IF(AND($W41&gt;0,AO$7&gt;$X41,AO$7&lt;=$X41+p_AfschrLK),($V41+$W41)/p_AfschrLK,0)</f>
        <v>0</v>
      </c>
      <c r="AP41" s="23" t="n">
        <f aca="false">IF(AND($S41&gt;0,AP$7&gt;=$T41,AP$7&lt;$T41+$R41),$S41,0)+IF(AND($W41&gt;0,AP$7&gt;$X41,AP$7&lt;=$X41+p_AfschrLK),($V41+$W41)/p_AfschrLK,0)</f>
        <v>0</v>
      </c>
      <c r="AQ41" s="23" t="n">
        <f aca="false">IF(AND($S41&gt;0,AQ$7&gt;=$T41,AQ$7&lt;$T41+$R41),$S41,0)+IF(AND($W41&gt;0,AQ$7&gt;$X41,AQ$7&lt;=$X41+p_AfschrLK),($V41+$W41)/p_AfschrLK,0)</f>
        <v>0</v>
      </c>
    </row>
    <row r="42" customFormat="false" ht="15" hidden="false" customHeight="false" outlineLevel="0" collapsed="false">
      <c r="A42" s="20" t="str">
        <f aca="false">IF(INDEX('In gebruik'!$A:$A,ROW()+(-3))="","",INDEX('In gebruik'!$A:$A,ROW()+(-3)))</f>
        <v/>
      </c>
      <c r="B42" s="20" t="str">
        <f aca="false">IF($A42="","",INDEX('In gebruik'!$B:$B,ROW()+(-3))&amp;"")</f>
        <v/>
      </c>
      <c r="C42" s="20" t="str">
        <f aca="false">IF($A42="","",INDEX('In gebruik'!$H:$H,ROW()+(-3))&amp;"")</f>
        <v/>
      </c>
      <c r="D42" s="20" t="str">
        <f aca="false">IF($A42="","",INDEX('In gebruik'!$G:$G,ROW()+(-3))&amp;"")</f>
        <v/>
      </c>
      <c r="E42" s="20" t="str">
        <f aca="false">IF($A42="","",INDEX('In gebruik'!$U:$U,ROW()+(-3))&amp;"")</f>
        <v/>
      </c>
      <c r="F42" s="21" t="n">
        <f aca="false">IF($A42="",0,N(INDEX('In gebruik'!$J:$J,ROW()+(-3))))</f>
        <v>0</v>
      </c>
      <c r="G42" s="21" t="n">
        <f aca="false">IF($A42="",0,N(INDEX('In gebruik'!$K:$K,ROW()+(-3))))</f>
        <v>0</v>
      </c>
      <c r="H42" s="12" t="n">
        <f aca="false">IF(G42&gt;0,F42+G42-1,0)</f>
        <v>0</v>
      </c>
      <c r="I42" s="12" t="n">
        <f aca="false">IF($A42="",0,IF(N(INDEX('In gebruik'!$W:$W,ROW()+(-3)))&gt;0,N(INDEX('In gebruik'!$W:$W,ROW()+(-3))),IF(G42&gt;0,MAX(F42+G42,p_Start),0)))</f>
        <v>0</v>
      </c>
      <c r="J42" s="22" t="str">
        <f aca="false">IF($A42="","",IF(AND(G42&gt;0,F42+G42&lt;p_Start),"Over levensduur",IF(AND(I42&gt;0,I42&lt;=p_Start+3),"In begrotingsperiode","")))</f>
        <v/>
      </c>
      <c r="K42" s="23" t="n">
        <f aca="false">IF($E42="Lease-koop",p_Aanbet,0)</f>
        <v>0</v>
      </c>
      <c r="L42" s="23" t="n">
        <f aca="false">IF($E42="Lease-koop",p_Belet,0)</f>
        <v>0</v>
      </c>
      <c r="M42" s="23" t="n">
        <f aca="false">IF($E42="Lease-koop",p_Opbouw,0)</f>
        <v>0</v>
      </c>
      <c r="N42" s="23" t="n">
        <f aca="false">IF($E42="Lease-koop",p_Slot,0)</f>
        <v>0</v>
      </c>
      <c r="O42" s="12" t="n">
        <f aca="false">IF($E42="Lease-koop",I42+p_SlotJr,0)</f>
        <v>0</v>
      </c>
      <c r="P42" s="23" t="n">
        <f aca="false">IF($E42="Koop",N(INDEX('In gebruik'!$V:$V,ROW()+(-3))),0)</f>
        <v>0</v>
      </c>
      <c r="Q42" s="23" t="n">
        <f aca="false">K42+L42+M42+N42+P42</f>
        <v>0</v>
      </c>
      <c r="R42" s="12" t="n">
        <f aca="false">IF($E42="Lease-koop",p_AfschrLK,IF($E42="Koop",G42,0))</f>
        <v>0</v>
      </c>
      <c r="S42" s="23" t="n">
        <f aca="false">IF(R42&gt;0,Q42/R42,0)</f>
        <v>0</v>
      </c>
      <c r="T42" s="12" t="n">
        <f aca="false">IF($E42="Lease-koop",O42+1,IF($E42="Koop",I42+1,0))</f>
        <v>0</v>
      </c>
      <c r="U42" s="23" t="n">
        <f aca="false">IF($E42="Lease-koop",p_Lease,0)</f>
        <v>0</v>
      </c>
      <c r="V42" s="24" t="n">
        <f aca="false">IF($A42="",0,N(INDEX('In gebruik'!$R:$R,ROW()+(-3))))</f>
        <v>0</v>
      </c>
      <c r="W42" s="24" t="n">
        <f aca="false">IF($A42="",0,N(INDEX('In gebruik'!$S:$S,ROW()+(-3))))</f>
        <v>0</v>
      </c>
      <c r="X42" s="21" t="n">
        <f aca="false">IF(W42&gt;0,N(INDEX('In gebruik'!$T:$T,ROW()+(-3))),0)</f>
        <v>0</v>
      </c>
      <c r="Y42" s="24" t="n">
        <f aca="false">IF(W42&gt;0,IF(N(INDEX('In gebruik'!$P:$P,ROW()+(-3)))&gt;0,N(INDEX('In gebruik'!$P:$P,ROW()+(-3))),p_Lease),0)</f>
        <v>0</v>
      </c>
      <c r="AA42" s="23" t="n">
        <f aca="false">IF($Q42+$W42=0,0,IF(AA$7=$I42,$K42+$L42+$M42+$P42,0)+IF(AA$7=$O42,$N42,0)+IF(AA$7=$X42,$W42,0))</f>
        <v>0</v>
      </c>
      <c r="AB42" s="23" t="n">
        <f aca="false">IF($Q42+$W42=0,0,IF(AB$7=$I42,$K42+$L42+$M42+$P42,0)+IF(AB$7=$O42,$N42,0)+IF(AB$7=$X42,$W42,0))</f>
        <v>0</v>
      </c>
      <c r="AC42" s="23" t="n">
        <f aca="false">IF($Q42+$W42=0,0,IF(AC$7=$I42,$K42+$L42+$M42+$P42,0)+IF(AC$7=$O42,$N42,0)+IF(AC$7=$X42,$W42,0))</f>
        <v>0</v>
      </c>
      <c r="AD42" s="23" t="n">
        <f aca="false">IF($Q42+$W42=0,0,IF(AD$7=$I42,$K42+$L42+$M42+$P42,0)+IF(AD$7=$O42,$N42,0)+IF(AD$7=$X42,$W42,0))</f>
        <v>0</v>
      </c>
      <c r="AE42" s="23" t="n">
        <f aca="false">IF($Q42+$W42=0,0,IF(AE$7=$I42,$K42+$L42+$M42+$P42,0)+IF(AE$7=$O42,$N42,0)+IF(AE$7=$X42,$W42,0))</f>
        <v>0</v>
      </c>
      <c r="AF42" s="23" t="n">
        <f aca="false">IF($Q42+$W42=0,0,IF(AF$7=$I42,$K42+$L42+$M42+$P42,0)+IF(AF$7=$O42,$N42,0)+IF(AF$7=$X42,$W42,0))</f>
        <v>0</v>
      </c>
      <c r="AG42" s="23" t="n">
        <f aca="false">IF($Q42+$W42=0,0,IF(AG$7=$I42,$K42+$L42+$M42+$P42,0)+IF(AG$7=$O42,$N42,0)+IF(AG$7=$X42,$W42,0))</f>
        <v>0</v>
      </c>
      <c r="AH42" s="23" t="n">
        <f aca="false">IF($Q42+$W42=0,0,IF(AH$7=$I42,$K42+$L42+$M42+$P42,0)+IF(AH$7=$O42,$N42,0)+IF(AH$7=$X42,$W42,0))</f>
        <v>0</v>
      </c>
      <c r="AJ42" s="23" t="n">
        <f aca="false">IF(AND($S42&gt;0,AJ$7&gt;=$T42,AJ$7&lt;$T42+$R42),$S42,0)+IF(AND($W42&gt;0,AJ$7&gt;$X42,AJ$7&lt;=$X42+p_AfschrLK),($V42+$W42)/p_AfschrLK,0)</f>
        <v>0</v>
      </c>
      <c r="AK42" s="23" t="n">
        <f aca="false">IF(AND($S42&gt;0,AK$7&gt;=$T42,AK$7&lt;$T42+$R42),$S42,0)+IF(AND($W42&gt;0,AK$7&gt;$X42,AK$7&lt;=$X42+p_AfschrLK),($V42+$W42)/p_AfschrLK,0)</f>
        <v>0</v>
      </c>
      <c r="AL42" s="23" t="n">
        <f aca="false">IF(AND($S42&gt;0,AL$7&gt;=$T42,AL$7&lt;$T42+$R42),$S42,0)+IF(AND($W42&gt;0,AL$7&gt;$X42,AL$7&lt;=$X42+p_AfschrLK),($V42+$W42)/p_AfschrLK,0)</f>
        <v>0</v>
      </c>
      <c r="AM42" s="23" t="n">
        <f aca="false">IF(AND($S42&gt;0,AM$7&gt;=$T42,AM$7&lt;$T42+$R42),$S42,0)+IF(AND($W42&gt;0,AM$7&gt;$X42,AM$7&lt;=$X42+p_AfschrLK),($V42+$W42)/p_AfschrLK,0)</f>
        <v>0</v>
      </c>
      <c r="AN42" s="23" t="n">
        <f aca="false">IF(AND($S42&gt;0,AN$7&gt;=$T42,AN$7&lt;$T42+$R42),$S42,0)+IF(AND($W42&gt;0,AN$7&gt;$X42,AN$7&lt;=$X42+p_AfschrLK),($V42+$W42)/p_AfschrLK,0)</f>
        <v>0</v>
      </c>
      <c r="AO42" s="23" t="n">
        <f aca="false">IF(AND($S42&gt;0,AO$7&gt;=$T42,AO$7&lt;$T42+$R42),$S42,0)+IF(AND($W42&gt;0,AO$7&gt;$X42,AO$7&lt;=$X42+p_AfschrLK),($V42+$W42)/p_AfschrLK,0)</f>
        <v>0</v>
      </c>
      <c r="AP42" s="23" t="n">
        <f aca="false">IF(AND($S42&gt;0,AP$7&gt;=$T42,AP$7&lt;$T42+$R42),$S42,0)+IF(AND($W42&gt;0,AP$7&gt;$X42,AP$7&lt;=$X42+p_AfschrLK),($V42+$W42)/p_AfschrLK,0)</f>
        <v>0</v>
      </c>
      <c r="AQ42" s="23" t="n">
        <f aca="false">IF(AND($S42&gt;0,AQ$7&gt;=$T42,AQ$7&lt;$T42+$R42),$S42,0)+IF(AND($W42&gt;0,AQ$7&gt;$X42,AQ$7&lt;=$X42+p_AfschrLK),($V42+$W42)/p_AfschrLK,0)</f>
        <v>0</v>
      </c>
    </row>
    <row r="43" customFormat="false" ht="15" hidden="false" customHeight="false" outlineLevel="0" collapsed="false">
      <c r="A43" s="20" t="str">
        <f aca="false">IF(INDEX('In gebruik'!$A:$A,ROW()+(-3))="","",INDEX('In gebruik'!$A:$A,ROW()+(-3)))</f>
        <v/>
      </c>
      <c r="B43" s="20" t="str">
        <f aca="false">IF($A43="","",INDEX('In gebruik'!$B:$B,ROW()+(-3))&amp;"")</f>
        <v/>
      </c>
      <c r="C43" s="20" t="str">
        <f aca="false">IF($A43="","",INDEX('In gebruik'!$H:$H,ROW()+(-3))&amp;"")</f>
        <v/>
      </c>
      <c r="D43" s="20" t="str">
        <f aca="false">IF($A43="","",INDEX('In gebruik'!$G:$G,ROW()+(-3))&amp;"")</f>
        <v/>
      </c>
      <c r="E43" s="20" t="str">
        <f aca="false">IF($A43="","",INDEX('In gebruik'!$U:$U,ROW()+(-3))&amp;"")</f>
        <v/>
      </c>
      <c r="F43" s="21" t="n">
        <f aca="false">IF($A43="",0,N(INDEX('In gebruik'!$J:$J,ROW()+(-3))))</f>
        <v>0</v>
      </c>
      <c r="G43" s="21" t="n">
        <f aca="false">IF($A43="",0,N(INDEX('In gebruik'!$K:$K,ROW()+(-3))))</f>
        <v>0</v>
      </c>
      <c r="H43" s="12" t="n">
        <f aca="false">IF(G43&gt;0,F43+G43-1,0)</f>
        <v>0</v>
      </c>
      <c r="I43" s="12" t="n">
        <f aca="false">IF($A43="",0,IF(N(INDEX('In gebruik'!$W:$W,ROW()+(-3)))&gt;0,N(INDEX('In gebruik'!$W:$W,ROW()+(-3))),IF(G43&gt;0,MAX(F43+G43,p_Start),0)))</f>
        <v>0</v>
      </c>
      <c r="J43" s="22" t="str">
        <f aca="false">IF($A43="","",IF(AND(G43&gt;0,F43+G43&lt;p_Start),"Over levensduur",IF(AND(I43&gt;0,I43&lt;=p_Start+3),"In begrotingsperiode","")))</f>
        <v/>
      </c>
      <c r="K43" s="23" t="n">
        <f aca="false">IF($E43="Lease-koop",p_Aanbet,0)</f>
        <v>0</v>
      </c>
      <c r="L43" s="23" t="n">
        <f aca="false">IF($E43="Lease-koop",p_Belet,0)</f>
        <v>0</v>
      </c>
      <c r="M43" s="23" t="n">
        <f aca="false">IF($E43="Lease-koop",p_Opbouw,0)</f>
        <v>0</v>
      </c>
      <c r="N43" s="23" t="n">
        <f aca="false">IF($E43="Lease-koop",p_Slot,0)</f>
        <v>0</v>
      </c>
      <c r="O43" s="12" t="n">
        <f aca="false">IF($E43="Lease-koop",I43+p_SlotJr,0)</f>
        <v>0</v>
      </c>
      <c r="P43" s="23" t="n">
        <f aca="false">IF($E43="Koop",N(INDEX('In gebruik'!$V:$V,ROW()+(-3))),0)</f>
        <v>0</v>
      </c>
      <c r="Q43" s="23" t="n">
        <f aca="false">K43+L43+M43+N43+P43</f>
        <v>0</v>
      </c>
      <c r="R43" s="12" t="n">
        <f aca="false">IF($E43="Lease-koop",p_AfschrLK,IF($E43="Koop",G43,0))</f>
        <v>0</v>
      </c>
      <c r="S43" s="23" t="n">
        <f aca="false">IF(R43&gt;0,Q43/R43,0)</f>
        <v>0</v>
      </c>
      <c r="T43" s="12" t="n">
        <f aca="false">IF($E43="Lease-koop",O43+1,IF($E43="Koop",I43+1,0))</f>
        <v>0</v>
      </c>
      <c r="U43" s="23" t="n">
        <f aca="false">IF($E43="Lease-koop",p_Lease,0)</f>
        <v>0</v>
      </c>
      <c r="V43" s="24" t="n">
        <f aca="false">IF($A43="",0,N(INDEX('In gebruik'!$R:$R,ROW()+(-3))))</f>
        <v>0</v>
      </c>
      <c r="W43" s="24" t="n">
        <f aca="false">IF($A43="",0,N(INDEX('In gebruik'!$S:$S,ROW()+(-3))))</f>
        <v>0</v>
      </c>
      <c r="X43" s="21" t="n">
        <f aca="false">IF(W43&gt;0,N(INDEX('In gebruik'!$T:$T,ROW()+(-3))),0)</f>
        <v>0</v>
      </c>
      <c r="Y43" s="24" t="n">
        <f aca="false">IF(W43&gt;0,IF(N(INDEX('In gebruik'!$P:$P,ROW()+(-3)))&gt;0,N(INDEX('In gebruik'!$P:$P,ROW()+(-3))),p_Lease),0)</f>
        <v>0</v>
      </c>
      <c r="AA43" s="23" t="n">
        <f aca="false">IF($Q43+$W43=0,0,IF(AA$7=$I43,$K43+$L43+$M43+$P43,0)+IF(AA$7=$O43,$N43,0)+IF(AA$7=$X43,$W43,0))</f>
        <v>0</v>
      </c>
      <c r="AB43" s="23" t="n">
        <f aca="false">IF($Q43+$W43=0,0,IF(AB$7=$I43,$K43+$L43+$M43+$P43,0)+IF(AB$7=$O43,$N43,0)+IF(AB$7=$X43,$W43,0))</f>
        <v>0</v>
      </c>
      <c r="AC43" s="23" t="n">
        <f aca="false">IF($Q43+$W43=0,0,IF(AC$7=$I43,$K43+$L43+$M43+$P43,0)+IF(AC$7=$O43,$N43,0)+IF(AC$7=$X43,$W43,0))</f>
        <v>0</v>
      </c>
      <c r="AD43" s="23" t="n">
        <f aca="false">IF($Q43+$W43=0,0,IF(AD$7=$I43,$K43+$L43+$M43+$P43,0)+IF(AD$7=$O43,$N43,0)+IF(AD$7=$X43,$W43,0))</f>
        <v>0</v>
      </c>
      <c r="AE43" s="23" t="n">
        <f aca="false">IF($Q43+$W43=0,0,IF(AE$7=$I43,$K43+$L43+$M43+$P43,0)+IF(AE$7=$O43,$N43,0)+IF(AE$7=$X43,$W43,0))</f>
        <v>0</v>
      </c>
      <c r="AF43" s="23" t="n">
        <f aca="false">IF($Q43+$W43=0,0,IF(AF$7=$I43,$K43+$L43+$M43+$P43,0)+IF(AF$7=$O43,$N43,0)+IF(AF$7=$X43,$W43,0))</f>
        <v>0</v>
      </c>
      <c r="AG43" s="23" t="n">
        <f aca="false">IF($Q43+$W43=0,0,IF(AG$7=$I43,$K43+$L43+$M43+$P43,0)+IF(AG$7=$O43,$N43,0)+IF(AG$7=$X43,$W43,0))</f>
        <v>0</v>
      </c>
      <c r="AH43" s="23" t="n">
        <f aca="false">IF($Q43+$W43=0,0,IF(AH$7=$I43,$K43+$L43+$M43+$P43,0)+IF(AH$7=$O43,$N43,0)+IF(AH$7=$X43,$W43,0))</f>
        <v>0</v>
      </c>
      <c r="AJ43" s="23" t="n">
        <f aca="false">IF(AND($S43&gt;0,AJ$7&gt;=$T43,AJ$7&lt;$T43+$R43),$S43,0)+IF(AND($W43&gt;0,AJ$7&gt;$X43,AJ$7&lt;=$X43+p_AfschrLK),($V43+$W43)/p_AfschrLK,0)</f>
        <v>0</v>
      </c>
      <c r="AK43" s="23" t="n">
        <f aca="false">IF(AND($S43&gt;0,AK$7&gt;=$T43,AK$7&lt;$T43+$R43),$S43,0)+IF(AND($W43&gt;0,AK$7&gt;$X43,AK$7&lt;=$X43+p_AfschrLK),($V43+$W43)/p_AfschrLK,0)</f>
        <v>0</v>
      </c>
      <c r="AL43" s="23" t="n">
        <f aca="false">IF(AND($S43&gt;0,AL$7&gt;=$T43,AL$7&lt;$T43+$R43),$S43,0)+IF(AND($W43&gt;0,AL$7&gt;$X43,AL$7&lt;=$X43+p_AfschrLK),($V43+$W43)/p_AfschrLK,0)</f>
        <v>0</v>
      </c>
      <c r="AM43" s="23" t="n">
        <f aca="false">IF(AND($S43&gt;0,AM$7&gt;=$T43,AM$7&lt;$T43+$R43),$S43,0)+IF(AND($W43&gt;0,AM$7&gt;$X43,AM$7&lt;=$X43+p_AfschrLK),($V43+$W43)/p_AfschrLK,0)</f>
        <v>0</v>
      </c>
      <c r="AN43" s="23" t="n">
        <f aca="false">IF(AND($S43&gt;0,AN$7&gt;=$T43,AN$7&lt;$T43+$R43),$S43,0)+IF(AND($W43&gt;0,AN$7&gt;$X43,AN$7&lt;=$X43+p_AfschrLK),($V43+$W43)/p_AfschrLK,0)</f>
        <v>0</v>
      </c>
      <c r="AO43" s="23" t="n">
        <f aca="false">IF(AND($S43&gt;0,AO$7&gt;=$T43,AO$7&lt;$T43+$R43),$S43,0)+IF(AND($W43&gt;0,AO$7&gt;$X43,AO$7&lt;=$X43+p_AfschrLK),($V43+$W43)/p_AfschrLK,0)</f>
        <v>0</v>
      </c>
      <c r="AP43" s="23" t="n">
        <f aca="false">IF(AND($S43&gt;0,AP$7&gt;=$T43,AP$7&lt;$T43+$R43),$S43,0)+IF(AND($W43&gt;0,AP$7&gt;$X43,AP$7&lt;=$X43+p_AfschrLK),($V43+$W43)/p_AfschrLK,0)</f>
        <v>0</v>
      </c>
      <c r="AQ43" s="23" t="n">
        <f aca="false">IF(AND($S43&gt;0,AQ$7&gt;=$T43,AQ$7&lt;$T43+$R43),$S43,0)+IF(AND($W43&gt;0,AQ$7&gt;$X43,AQ$7&lt;=$X43+p_AfschrLK),($V43+$W43)/p_AfschrLK,0)</f>
        <v>0</v>
      </c>
    </row>
    <row r="44" customFormat="false" ht="15" hidden="false" customHeight="false" outlineLevel="0" collapsed="false">
      <c r="A44" s="20" t="str">
        <f aca="false">IF(INDEX('In gebruik'!$A:$A,ROW()+(-3))="","",INDEX('In gebruik'!$A:$A,ROW()+(-3)))</f>
        <v/>
      </c>
      <c r="B44" s="20" t="str">
        <f aca="false">IF($A44="","",INDEX('In gebruik'!$B:$B,ROW()+(-3))&amp;"")</f>
        <v/>
      </c>
      <c r="C44" s="20" t="str">
        <f aca="false">IF($A44="","",INDEX('In gebruik'!$H:$H,ROW()+(-3))&amp;"")</f>
        <v/>
      </c>
      <c r="D44" s="20" t="str">
        <f aca="false">IF($A44="","",INDEX('In gebruik'!$G:$G,ROW()+(-3))&amp;"")</f>
        <v/>
      </c>
      <c r="E44" s="20" t="str">
        <f aca="false">IF($A44="","",INDEX('In gebruik'!$U:$U,ROW()+(-3))&amp;"")</f>
        <v/>
      </c>
      <c r="F44" s="21" t="n">
        <f aca="false">IF($A44="",0,N(INDEX('In gebruik'!$J:$J,ROW()+(-3))))</f>
        <v>0</v>
      </c>
      <c r="G44" s="21" t="n">
        <f aca="false">IF($A44="",0,N(INDEX('In gebruik'!$K:$K,ROW()+(-3))))</f>
        <v>0</v>
      </c>
      <c r="H44" s="12" t="n">
        <f aca="false">IF(G44&gt;0,F44+G44-1,0)</f>
        <v>0</v>
      </c>
      <c r="I44" s="12" t="n">
        <f aca="false">IF($A44="",0,IF(N(INDEX('In gebruik'!$W:$W,ROW()+(-3)))&gt;0,N(INDEX('In gebruik'!$W:$W,ROW()+(-3))),IF(G44&gt;0,MAX(F44+G44,p_Start),0)))</f>
        <v>0</v>
      </c>
      <c r="J44" s="22" t="str">
        <f aca="false">IF($A44="","",IF(AND(G44&gt;0,F44+G44&lt;p_Start),"Over levensduur",IF(AND(I44&gt;0,I44&lt;=p_Start+3),"In begrotingsperiode","")))</f>
        <v/>
      </c>
      <c r="K44" s="23" t="n">
        <f aca="false">IF($E44="Lease-koop",p_Aanbet,0)</f>
        <v>0</v>
      </c>
      <c r="L44" s="23" t="n">
        <f aca="false">IF($E44="Lease-koop",p_Belet,0)</f>
        <v>0</v>
      </c>
      <c r="M44" s="23" t="n">
        <f aca="false">IF($E44="Lease-koop",p_Opbouw,0)</f>
        <v>0</v>
      </c>
      <c r="N44" s="23" t="n">
        <f aca="false">IF($E44="Lease-koop",p_Slot,0)</f>
        <v>0</v>
      </c>
      <c r="O44" s="12" t="n">
        <f aca="false">IF($E44="Lease-koop",I44+p_SlotJr,0)</f>
        <v>0</v>
      </c>
      <c r="P44" s="23" t="n">
        <f aca="false">IF($E44="Koop",N(INDEX('In gebruik'!$V:$V,ROW()+(-3))),0)</f>
        <v>0</v>
      </c>
      <c r="Q44" s="23" t="n">
        <f aca="false">K44+L44+M44+N44+P44</f>
        <v>0</v>
      </c>
      <c r="R44" s="12" t="n">
        <f aca="false">IF($E44="Lease-koop",p_AfschrLK,IF($E44="Koop",G44,0))</f>
        <v>0</v>
      </c>
      <c r="S44" s="23" t="n">
        <f aca="false">IF(R44&gt;0,Q44/R44,0)</f>
        <v>0</v>
      </c>
      <c r="T44" s="12" t="n">
        <f aca="false">IF($E44="Lease-koop",O44+1,IF($E44="Koop",I44+1,0))</f>
        <v>0</v>
      </c>
      <c r="U44" s="23" t="n">
        <f aca="false">IF($E44="Lease-koop",p_Lease,0)</f>
        <v>0</v>
      </c>
      <c r="V44" s="24" t="n">
        <f aca="false">IF($A44="",0,N(INDEX('In gebruik'!$R:$R,ROW()+(-3))))</f>
        <v>0</v>
      </c>
      <c r="W44" s="24" t="n">
        <f aca="false">IF($A44="",0,N(INDEX('In gebruik'!$S:$S,ROW()+(-3))))</f>
        <v>0</v>
      </c>
      <c r="X44" s="21" t="n">
        <f aca="false">IF(W44&gt;0,N(INDEX('In gebruik'!$T:$T,ROW()+(-3))),0)</f>
        <v>0</v>
      </c>
      <c r="Y44" s="24" t="n">
        <f aca="false">IF(W44&gt;0,IF(N(INDEX('In gebruik'!$P:$P,ROW()+(-3)))&gt;0,N(INDEX('In gebruik'!$P:$P,ROW()+(-3))),p_Lease),0)</f>
        <v>0</v>
      </c>
      <c r="AA44" s="23" t="n">
        <f aca="false">IF($Q44+$W44=0,0,IF(AA$7=$I44,$K44+$L44+$M44+$P44,0)+IF(AA$7=$O44,$N44,0)+IF(AA$7=$X44,$W44,0))</f>
        <v>0</v>
      </c>
      <c r="AB44" s="23" t="n">
        <f aca="false">IF($Q44+$W44=0,0,IF(AB$7=$I44,$K44+$L44+$M44+$P44,0)+IF(AB$7=$O44,$N44,0)+IF(AB$7=$X44,$W44,0))</f>
        <v>0</v>
      </c>
      <c r="AC44" s="23" t="n">
        <f aca="false">IF($Q44+$W44=0,0,IF(AC$7=$I44,$K44+$L44+$M44+$P44,0)+IF(AC$7=$O44,$N44,0)+IF(AC$7=$X44,$W44,0))</f>
        <v>0</v>
      </c>
      <c r="AD44" s="23" t="n">
        <f aca="false">IF($Q44+$W44=0,0,IF(AD$7=$I44,$K44+$L44+$M44+$P44,0)+IF(AD$7=$O44,$N44,0)+IF(AD$7=$X44,$W44,0))</f>
        <v>0</v>
      </c>
      <c r="AE44" s="23" t="n">
        <f aca="false">IF($Q44+$W44=0,0,IF(AE$7=$I44,$K44+$L44+$M44+$P44,0)+IF(AE$7=$O44,$N44,0)+IF(AE$7=$X44,$W44,0))</f>
        <v>0</v>
      </c>
      <c r="AF44" s="23" t="n">
        <f aca="false">IF($Q44+$W44=0,0,IF(AF$7=$I44,$K44+$L44+$M44+$P44,0)+IF(AF$7=$O44,$N44,0)+IF(AF$7=$X44,$W44,0))</f>
        <v>0</v>
      </c>
      <c r="AG44" s="23" t="n">
        <f aca="false">IF($Q44+$W44=0,0,IF(AG$7=$I44,$K44+$L44+$M44+$P44,0)+IF(AG$7=$O44,$N44,0)+IF(AG$7=$X44,$W44,0))</f>
        <v>0</v>
      </c>
      <c r="AH44" s="23" t="n">
        <f aca="false">IF($Q44+$W44=0,0,IF(AH$7=$I44,$K44+$L44+$M44+$P44,0)+IF(AH$7=$O44,$N44,0)+IF(AH$7=$X44,$W44,0))</f>
        <v>0</v>
      </c>
      <c r="AJ44" s="23" t="n">
        <f aca="false">IF(AND($S44&gt;0,AJ$7&gt;=$T44,AJ$7&lt;$T44+$R44),$S44,0)+IF(AND($W44&gt;0,AJ$7&gt;$X44,AJ$7&lt;=$X44+p_AfschrLK),($V44+$W44)/p_AfschrLK,0)</f>
        <v>0</v>
      </c>
      <c r="AK44" s="23" t="n">
        <f aca="false">IF(AND($S44&gt;0,AK$7&gt;=$T44,AK$7&lt;$T44+$R44),$S44,0)+IF(AND($W44&gt;0,AK$7&gt;$X44,AK$7&lt;=$X44+p_AfschrLK),($V44+$W44)/p_AfschrLK,0)</f>
        <v>0</v>
      </c>
      <c r="AL44" s="23" t="n">
        <f aca="false">IF(AND($S44&gt;0,AL$7&gt;=$T44,AL$7&lt;$T44+$R44),$S44,0)+IF(AND($W44&gt;0,AL$7&gt;$X44,AL$7&lt;=$X44+p_AfschrLK),($V44+$W44)/p_AfschrLK,0)</f>
        <v>0</v>
      </c>
      <c r="AM44" s="23" t="n">
        <f aca="false">IF(AND($S44&gt;0,AM$7&gt;=$T44,AM$7&lt;$T44+$R44),$S44,0)+IF(AND($W44&gt;0,AM$7&gt;$X44,AM$7&lt;=$X44+p_AfschrLK),($V44+$W44)/p_AfschrLK,0)</f>
        <v>0</v>
      </c>
      <c r="AN44" s="23" t="n">
        <f aca="false">IF(AND($S44&gt;0,AN$7&gt;=$T44,AN$7&lt;$T44+$R44),$S44,0)+IF(AND($W44&gt;0,AN$7&gt;$X44,AN$7&lt;=$X44+p_AfschrLK),($V44+$W44)/p_AfschrLK,0)</f>
        <v>0</v>
      </c>
      <c r="AO44" s="23" t="n">
        <f aca="false">IF(AND($S44&gt;0,AO$7&gt;=$T44,AO$7&lt;$T44+$R44),$S44,0)+IF(AND($W44&gt;0,AO$7&gt;$X44,AO$7&lt;=$X44+p_AfschrLK),($V44+$W44)/p_AfschrLK,0)</f>
        <v>0</v>
      </c>
      <c r="AP44" s="23" t="n">
        <f aca="false">IF(AND($S44&gt;0,AP$7&gt;=$T44,AP$7&lt;$T44+$R44),$S44,0)+IF(AND($W44&gt;0,AP$7&gt;$X44,AP$7&lt;=$X44+p_AfschrLK),($V44+$W44)/p_AfschrLK,0)</f>
        <v>0</v>
      </c>
      <c r="AQ44" s="23" t="n">
        <f aca="false">IF(AND($S44&gt;0,AQ$7&gt;=$T44,AQ$7&lt;$T44+$R44),$S44,0)+IF(AND($W44&gt;0,AQ$7&gt;$X44,AQ$7&lt;=$X44+p_AfschrLK),($V44+$W44)/p_AfschrLK,0)</f>
        <v>0</v>
      </c>
    </row>
    <row r="45" customFormat="false" ht="15" hidden="false" customHeight="false" outlineLevel="0" collapsed="false">
      <c r="A45" s="20" t="str">
        <f aca="false">IF(INDEX('In gebruik'!$A:$A,ROW()+(-3))="","",INDEX('In gebruik'!$A:$A,ROW()+(-3)))</f>
        <v/>
      </c>
      <c r="B45" s="20" t="str">
        <f aca="false">IF($A45="","",INDEX('In gebruik'!$B:$B,ROW()+(-3))&amp;"")</f>
        <v/>
      </c>
      <c r="C45" s="20" t="str">
        <f aca="false">IF($A45="","",INDEX('In gebruik'!$H:$H,ROW()+(-3))&amp;"")</f>
        <v/>
      </c>
      <c r="D45" s="20" t="str">
        <f aca="false">IF($A45="","",INDEX('In gebruik'!$G:$G,ROW()+(-3))&amp;"")</f>
        <v/>
      </c>
      <c r="E45" s="20" t="str">
        <f aca="false">IF($A45="","",INDEX('In gebruik'!$U:$U,ROW()+(-3))&amp;"")</f>
        <v/>
      </c>
      <c r="F45" s="21" t="n">
        <f aca="false">IF($A45="",0,N(INDEX('In gebruik'!$J:$J,ROW()+(-3))))</f>
        <v>0</v>
      </c>
      <c r="G45" s="21" t="n">
        <f aca="false">IF($A45="",0,N(INDEX('In gebruik'!$K:$K,ROW()+(-3))))</f>
        <v>0</v>
      </c>
      <c r="H45" s="12" t="n">
        <f aca="false">IF(G45&gt;0,F45+G45-1,0)</f>
        <v>0</v>
      </c>
      <c r="I45" s="12" t="n">
        <f aca="false">IF($A45="",0,IF(N(INDEX('In gebruik'!$W:$W,ROW()+(-3)))&gt;0,N(INDEX('In gebruik'!$W:$W,ROW()+(-3))),IF(G45&gt;0,MAX(F45+G45,p_Start),0)))</f>
        <v>0</v>
      </c>
      <c r="J45" s="22" t="str">
        <f aca="false">IF($A45="","",IF(AND(G45&gt;0,F45+G45&lt;p_Start),"Over levensduur",IF(AND(I45&gt;0,I45&lt;=p_Start+3),"In begrotingsperiode","")))</f>
        <v/>
      </c>
      <c r="K45" s="23" t="n">
        <f aca="false">IF($E45="Lease-koop",p_Aanbet,0)</f>
        <v>0</v>
      </c>
      <c r="L45" s="23" t="n">
        <f aca="false">IF($E45="Lease-koop",p_Belet,0)</f>
        <v>0</v>
      </c>
      <c r="M45" s="23" t="n">
        <f aca="false">IF($E45="Lease-koop",p_Opbouw,0)</f>
        <v>0</v>
      </c>
      <c r="N45" s="23" t="n">
        <f aca="false">IF($E45="Lease-koop",p_Slot,0)</f>
        <v>0</v>
      </c>
      <c r="O45" s="12" t="n">
        <f aca="false">IF($E45="Lease-koop",I45+p_SlotJr,0)</f>
        <v>0</v>
      </c>
      <c r="P45" s="23" t="n">
        <f aca="false">IF($E45="Koop",N(INDEX('In gebruik'!$V:$V,ROW()+(-3))),0)</f>
        <v>0</v>
      </c>
      <c r="Q45" s="23" t="n">
        <f aca="false">K45+L45+M45+N45+P45</f>
        <v>0</v>
      </c>
      <c r="R45" s="12" t="n">
        <f aca="false">IF($E45="Lease-koop",p_AfschrLK,IF($E45="Koop",G45,0))</f>
        <v>0</v>
      </c>
      <c r="S45" s="23" t="n">
        <f aca="false">IF(R45&gt;0,Q45/R45,0)</f>
        <v>0</v>
      </c>
      <c r="T45" s="12" t="n">
        <f aca="false">IF($E45="Lease-koop",O45+1,IF($E45="Koop",I45+1,0))</f>
        <v>0</v>
      </c>
      <c r="U45" s="23" t="n">
        <f aca="false">IF($E45="Lease-koop",p_Lease,0)</f>
        <v>0</v>
      </c>
      <c r="V45" s="24" t="n">
        <f aca="false">IF($A45="",0,N(INDEX('In gebruik'!$R:$R,ROW()+(-3))))</f>
        <v>0</v>
      </c>
      <c r="W45" s="24" t="n">
        <f aca="false">IF($A45="",0,N(INDEX('In gebruik'!$S:$S,ROW()+(-3))))</f>
        <v>0</v>
      </c>
      <c r="X45" s="21" t="n">
        <f aca="false">IF(W45&gt;0,N(INDEX('In gebruik'!$T:$T,ROW()+(-3))),0)</f>
        <v>0</v>
      </c>
      <c r="Y45" s="24" t="n">
        <f aca="false">IF(W45&gt;0,IF(N(INDEX('In gebruik'!$P:$P,ROW()+(-3)))&gt;0,N(INDEX('In gebruik'!$P:$P,ROW()+(-3))),p_Lease),0)</f>
        <v>0</v>
      </c>
      <c r="AA45" s="23" t="n">
        <f aca="false">IF($Q45+$W45=0,0,IF(AA$7=$I45,$K45+$L45+$M45+$P45,0)+IF(AA$7=$O45,$N45,0)+IF(AA$7=$X45,$W45,0))</f>
        <v>0</v>
      </c>
      <c r="AB45" s="23" t="n">
        <f aca="false">IF($Q45+$W45=0,0,IF(AB$7=$I45,$K45+$L45+$M45+$P45,0)+IF(AB$7=$O45,$N45,0)+IF(AB$7=$X45,$W45,0))</f>
        <v>0</v>
      </c>
      <c r="AC45" s="23" t="n">
        <f aca="false">IF($Q45+$W45=0,0,IF(AC$7=$I45,$K45+$L45+$M45+$P45,0)+IF(AC$7=$O45,$N45,0)+IF(AC$7=$X45,$W45,0))</f>
        <v>0</v>
      </c>
      <c r="AD45" s="23" t="n">
        <f aca="false">IF($Q45+$W45=0,0,IF(AD$7=$I45,$K45+$L45+$M45+$P45,0)+IF(AD$7=$O45,$N45,0)+IF(AD$7=$X45,$W45,0))</f>
        <v>0</v>
      </c>
      <c r="AE45" s="23" t="n">
        <f aca="false">IF($Q45+$W45=0,0,IF(AE$7=$I45,$K45+$L45+$M45+$P45,0)+IF(AE$7=$O45,$N45,0)+IF(AE$7=$X45,$W45,0))</f>
        <v>0</v>
      </c>
      <c r="AF45" s="23" t="n">
        <f aca="false">IF($Q45+$W45=0,0,IF(AF$7=$I45,$K45+$L45+$M45+$P45,0)+IF(AF$7=$O45,$N45,0)+IF(AF$7=$X45,$W45,0))</f>
        <v>0</v>
      </c>
      <c r="AG45" s="23" t="n">
        <f aca="false">IF($Q45+$W45=0,0,IF(AG$7=$I45,$K45+$L45+$M45+$P45,0)+IF(AG$7=$O45,$N45,0)+IF(AG$7=$X45,$W45,0))</f>
        <v>0</v>
      </c>
      <c r="AH45" s="23" t="n">
        <f aca="false">IF($Q45+$W45=0,0,IF(AH$7=$I45,$K45+$L45+$M45+$P45,0)+IF(AH$7=$O45,$N45,0)+IF(AH$7=$X45,$W45,0))</f>
        <v>0</v>
      </c>
      <c r="AJ45" s="23" t="n">
        <f aca="false">IF(AND($S45&gt;0,AJ$7&gt;=$T45,AJ$7&lt;$T45+$R45),$S45,0)+IF(AND($W45&gt;0,AJ$7&gt;$X45,AJ$7&lt;=$X45+p_AfschrLK),($V45+$W45)/p_AfschrLK,0)</f>
        <v>0</v>
      </c>
      <c r="AK45" s="23" t="n">
        <f aca="false">IF(AND($S45&gt;0,AK$7&gt;=$T45,AK$7&lt;$T45+$R45),$S45,0)+IF(AND($W45&gt;0,AK$7&gt;$X45,AK$7&lt;=$X45+p_AfschrLK),($V45+$W45)/p_AfschrLK,0)</f>
        <v>0</v>
      </c>
      <c r="AL45" s="23" t="n">
        <f aca="false">IF(AND($S45&gt;0,AL$7&gt;=$T45,AL$7&lt;$T45+$R45),$S45,0)+IF(AND($W45&gt;0,AL$7&gt;$X45,AL$7&lt;=$X45+p_AfschrLK),($V45+$W45)/p_AfschrLK,0)</f>
        <v>0</v>
      </c>
      <c r="AM45" s="23" t="n">
        <f aca="false">IF(AND($S45&gt;0,AM$7&gt;=$T45,AM$7&lt;$T45+$R45),$S45,0)+IF(AND($W45&gt;0,AM$7&gt;$X45,AM$7&lt;=$X45+p_AfschrLK),($V45+$W45)/p_AfschrLK,0)</f>
        <v>0</v>
      </c>
      <c r="AN45" s="23" t="n">
        <f aca="false">IF(AND($S45&gt;0,AN$7&gt;=$T45,AN$7&lt;$T45+$R45),$S45,0)+IF(AND($W45&gt;0,AN$7&gt;$X45,AN$7&lt;=$X45+p_AfschrLK),($V45+$W45)/p_AfschrLK,0)</f>
        <v>0</v>
      </c>
      <c r="AO45" s="23" t="n">
        <f aca="false">IF(AND($S45&gt;0,AO$7&gt;=$T45,AO$7&lt;$T45+$R45),$S45,0)+IF(AND($W45&gt;0,AO$7&gt;$X45,AO$7&lt;=$X45+p_AfschrLK),($V45+$W45)/p_AfschrLK,0)</f>
        <v>0</v>
      </c>
      <c r="AP45" s="23" t="n">
        <f aca="false">IF(AND($S45&gt;0,AP$7&gt;=$T45,AP$7&lt;$T45+$R45),$S45,0)+IF(AND($W45&gt;0,AP$7&gt;$X45,AP$7&lt;=$X45+p_AfschrLK),($V45+$W45)/p_AfschrLK,0)</f>
        <v>0</v>
      </c>
      <c r="AQ45" s="23" t="n">
        <f aca="false">IF(AND($S45&gt;0,AQ$7&gt;=$T45,AQ$7&lt;$T45+$R45),$S45,0)+IF(AND($W45&gt;0,AQ$7&gt;$X45,AQ$7&lt;=$X45+p_AfschrLK),($V45+$W45)/p_AfschrLK,0)</f>
        <v>0</v>
      </c>
    </row>
    <row r="46" customFormat="false" ht="15" hidden="false" customHeight="false" outlineLevel="0" collapsed="false">
      <c r="A46" s="20" t="str">
        <f aca="false">IF(INDEX('In gebruik'!$A:$A,ROW()+(-3))="","",INDEX('In gebruik'!$A:$A,ROW()+(-3)))</f>
        <v/>
      </c>
      <c r="B46" s="20" t="str">
        <f aca="false">IF($A46="","",INDEX('In gebruik'!$B:$B,ROW()+(-3))&amp;"")</f>
        <v/>
      </c>
      <c r="C46" s="20" t="str">
        <f aca="false">IF($A46="","",INDEX('In gebruik'!$H:$H,ROW()+(-3))&amp;"")</f>
        <v/>
      </c>
      <c r="D46" s="20" t="str">
        <f aca="false">IF($A46="","",INDEX('In gebruik'!$G:$G,ROW()+(-3))&amp;"")</f>
        <v/>
      </c>
      <c r="E46" s="20" t="str">
        <f aca="false">IF($A46="","",INDEX('In gebruik'!$U:$U,ROW()+(-3))&amp;"")</f>
        <v/>
      </c>
      <c r="F46" s="21" t="n">
        <f aca="false">IF($A46="",0,N(INDEX('In gebruik'!$J:$J,ROW()+(-3))))</f>
        <v>0</v>
      </c>
      <c r="G46" s="21" t="n">
        <f aca="false">IF($A46="",0,N(INDEX('In gebruik'!$K:$K,ROW()+(-3))))</f>
        <v>0</v>
      </c>
      <c r="H46" s="12" t="n">
        <f aca="false">IF(G46&gt;0,F46+G46-1,0)</f>
        <v>0</v>
      </c>
      <c r="I46" s="12" t="n">
        <f aca="false">IF($A46="",0,IF(N(INDEX('In gebruik'!$W:$W,ROW()+(-3)))&gt;0,N(INDEX('In gebruik'!$W:$W,ROW()+(-3))),IF(G46&gt;0,MAX(F46+G46,p_Start),0)))</f>
        <v>0</v>
      </c>
      <c r="J46" s="22" t="str">
        <f aca="false">IF($A46="","",IF(AND(G46&gt;0,F46+G46&lt;p_Start),"Over levensduur",IF(AND(I46&gt;0,I46&lt;=p_Start+3),"In begrotingsperiode","")))</f>
        <v/>
      </c>
      <c r="K46" s="23" t="n">
        <f aca="false">IF($E46="Lease-koop",p_Aanbet,0)</f>
        <v>0</v>
      </c>
      <c r="L46" s="23" t="n">
        <f aca="false">IF($E46="Lease-koop",p_Belet,0)</f>
        <v>0</v>
      </c>
      <c r="M46" s="23" t="n">
        <f aca="false">IF($E46="Lease-koop",p_Opbouw,0)</f>
        <v>0</v>
      </c>
      <c r="N46" s="23" t="n">
        <f aca="false">IF($E46="Lease-koop",p_Slot,0)</f>
        <v>0</v>
      </c>
      <c r="O46" s="12" t="n">
        <f aca="false">IF($E46="Lease-koop",I46+p_SlotJr,0)</f>
        <v>0</v>
      </c>
      <c r="P46" s="23" t="n">
        <f aca="false">IF($E46="Koop",N(INDEX('In gebruik'!$V:$V,ROW()+(-3))),0)</f>
        <v>0</v>
      </c>
      <c r="Q46" s="23" t="n">
        <f aca="false">K46+L46+M46+N46+P46</f>
        <v>0</v>
      </c>
      <c r="R46" s="12" t="n">
        <f aca="false">IF($E46="Lease-koop",p_AfschrLK,IF($E46="Koop",G46,0))</f>
        <v>0</v>
      </c>
      <c r="S46" s="23" t="n">
        <f aca="false">IF(R46&gt;0,Q46/R46,0)</f>
        <v>0</v>
      </c>
      <c r="T46" s="12" t="n">
        <f aca="false">IF($E46="Lease-koop",O46+1,IF($E46="Koop",I46+1,0))</f>
        <v>0</v>
      </c>
      <c r="U46" s="23" t="n">
        <f aca="false">IF($E46="Lease-koop",p_Lease,0)</f>
        <v>0</v>
      </c>
      <c r="V46" s="24" t="n">
        <f aca="false">IF($A46="",0,N(INDEX('In gebruik'!$R:$R,ROW()+(-3))))</f>
        <v>0</v>
      </c>
      <c r="W46" s="24" t="n">
        <f aca="false">IF($A46="",0,N(INDEX('In gebruik'!$S:$S,ROW()+(-3))))</f>
        <v>0</v>
      </c>
      <c r="X46" s="21" t="n">
        <f aca="false">IF(W46&gt;0,N(INDEX('In gebruik'!$T:$T,ROW()+(-3))),0)</f>
        <v>0</v>
      </c>
      <c r="Y46" s="24" t="n">
        <f aca="false">IF(W46&gt;0,IF(N(INDEX('In gebruik'!$P:$P,ROW()+(-3)))&gt;0,N(INDEX('In gebruik'!$P:$P,ROW()+(-3))),p_Lease),0)</f>
        <v>0</v>
      </c>
      <c r="AA46" s="23" t="n">
        <f aca="false">IF($Q46+$W46=0,0,IF(AA$7=$I46,$K46+$L46+$M46+$P46,0)+IF(AA$7=$O46,$N46,0)+IF(AA$7=$X46,$W46,0))</f>
        <v>0</v>
      </c>
      <c r="AB46" s="23" t="n">
        <f aca="false">IF($Q46+$W46=0,0,IF(AB$7=$I46,$K46+$L46+$M46+$P46,0)+IF(AB$7=$O46,$N46,0)+IF(AB$7=$X46,$W46,0))</f>
        <v>0</v>
      </c>
      <c r="AC46" s="23" t="n">
        <f aca="false">IF($Q46+$W46=0,0,IF(AC$7=$I46,$K46+$L46+$M46+$P46,0)+IF(AC$7=$O46,$N46,0)+IF(AC$7=$X46,$W46,0))</f>
        <v>0</v>
      </c>
      <c r="AD46" s="23" t="n">
        <f aca="false">IF($Q46+$W46=0,0,IF(AD$7=$I46,$K46+$L46+$M46+$P46,0)+IF(AD$7=$O46,$N46,0)+IF(AD$7=$X46,$W46,0))</f>
        <v>0</v>
      </c>
      <c r="AE46" s="23" t="n">
        <f aca="false">IF($Q46+$W46=0,0,IF(AE$7=$I46,$K46+$L46+$M46+$P46,0)+IF(AE$7=$O46,$N46,0)+IF(AE$7=$X46,$W46,0))</f>
        <v>0</v>
      </c>
      <c r="AF46" s="23" t="n">
        <f aca="false">IF($Q46+$W46=0,0,IF(AF$7=$I46,$K46+$L46+$M46+$P46,0)+IF(AF$7=$O46,$N46,0)+IF(AF$7=$X46,$W46,0))</f>
        <v>0</v>
      </c>
      <c r="AG46" s="23" t="n">
        <f aca="false">IF($Q46+$W46=0,0,IF(AG$7=$I46,$K46+$L46+$M46+$P46,0)+IF(AG$7=$O46,$N46,0)+IF(AG$7=$X46,$W46,0))</f>
        <v>0</v>
      </c>
      <c r="AH46" s="23" t="n">
        <f aca="false">IF($Q46+$W46=0,0,IF(AH$7=$I46,$K46+$L46+$M46+$P46,0)+IF(AH$7=$O46,$N46,0)+IF(AH$7=$X46,$W46,0))</f>
        <v>0</v>
      </c>
      <c r="AJ46" s="23" t="n">
        <f aca="false">IF(AND($S46&gt;0,AJ$7&gt;=$T46,AJ$7&lt;$T46+$R46),$S46,0)+IF(AND($W46&gt;0,AJ$7&gt;$X46,AJ$7&lt;=$X46+p_AfschrLK),($V46+$W46)/p_AfschrLK,0)</f>
        <v>0</v>
      </c>
      <c r="AK46" s="23" t="n">
        <f aca="false">IF(AND($S46&gt;0,AK$7&gt;=$T46,AK$7&lt;$T46+$R46),$S46,0)+IF(AND($W46&gt;0,AK$7&gt;$X46,AK$7&lt;=$X46+p_AfschrLK),($V46+$W46)/p_AfschrLK,0)</f>
        <v>0</v>
      </c>
      <c r="AL46" s="23" t="n">
        <f aca="false">IF(AND($S46&gt;0,AL$7&gt;=$T46,AL$7&lt;$T46+$R46),$S46,0)+IF(AND($W46&gt;0,AL$7&gt;$X46,AL$7&lt;=$X46+p_AfschrLK),($V46+$W46)/p_AfschrLK,0)</f>
        <v>0</v>
      </c>
      <c r="AM46" s="23" t="n">
        <f aca="false">IF(AND($S46&gt;0,AM$7&gt;=$T46,AM$7&lt;$T46+$R46),$S46,0)+IF(AND($W46&gt;0,AM$7&gt;$X46,AM$7&lt;=$X46+p_AfschrLK),($V46+$W46)/p_AfschrLK,0)</f>
        <v>0</v>
      </c>
      <c r="AN46" s="23" t="n">
        <f aca="false">IF(AND($S46&gt;0,AN$7&gt;=$T46,AN$7&lt;$T46+$R46),$S46,0)+IF(AND($W46&gt;0,AN$7&gt;$X46,AN$7&lt;=$X46+p_AfschrLK),($V46+$W46)/p_AfschrLK,0)</f>
        <v>0</v>
      </c>
      <c r="AO46" s="23" t="n">
        <f aca="false">IF(AND($S46&gt;0,AO$7&gt;=$T46,AO$7&lt;$T46+$R46),$S46,0)+IF(AND($W46&gt;0,AO$7&gt;$X46,AO$7&lt;=$X46+p_AfschrLK),($V46+$W46)/p_AfschrLK,0)</f>
        <v>0</v>
      </c>
      <c r="AP46" s="23" t="n">
        <f aca="false">IF(AND($S46&gt;0,AP$7&gt;=$T46,AP$7&lt;$T46+$R46),$S46,0)+IF(AND($W46&gt;0,AP$7&gt;$X46,AP$7&lt;=$X46+p_AfschrLK),($V46+$W46)/p_AfschrLK,0)</f>
        <v>0</v>
      </c>
      <c r="AQ46" s="23" t="n">
        <f aca="false">IF(AND($S46&gt;0,AQ$7&gt;=$T46,AQ$7&lt;$T46+$R46),$S46,0)+IF(AND($W46&gt;0,AQ$7&gt;$X46,AQ$7&lt;=$X46+p_AfschrLK),($V46+$W46)/p_AfschrLK,0)</f>
        <v>0</v>
      </c>
    </row>
    <row r="47" customFormat="false" ht="15" hidden="false" customHeight="false" outlineLevel="0" collapsed="false">
      <c r="A47" s="20" t="str">
        <f aca="false">IF(INDEX('In gebruik'!$A:$A,ROW()+(-3))="","",INDEX('In gebruik'!$A:$A,ROW()+(-3)))</f>
        <v/>
      </c>
      <c r="B47" s="20" t="str">
        <f aca="false">IF($A47="","",INDEX('In gebruik'!$B:$B,ROW()+(-3))&amp;"")</f>
        <v/>
      </c>
      <c r="C47" s="20" t="str">
        <f aca="false">IF($A47="","",INDEX('In gebruik'!$H:$H,ROW()+(-3))&amp;"")</f>
        <v/>
      </c>
      <c r="D47" s="20" t="str">
        <f aca="false">IF($A47="","",INDEX('In gebruik'!$G:$G,ROW()+(-3))&amp;"")</f>
        <v/>
      </c>
      <c r="E47" s="20" t="str">
        <f aca="false">IF($A47="","",INDEX('In gebruik'!$U:$U,ROW()+(-3))&amp;"")</f>
        <v/>
      </c>
      <c r="F47" s="21" t="n">
        <f aca="false">IF($A47="",0,N(INDEX('In gebruik'!$J:$J,ROW()+(-3))))</f>
        <v>0</v>
      </c>
      <c r="G47" s="21" t="n">
        <f aca="false">IF($A47="",0,N(INDEX('In gebruik'!$K:$K,ROW()+(-3))))</f>
        <v>0</v>
      </c>
      <c r="H47" s="12" t="n">
        <f aca="false">IF(G47&gt;0,F47+G47-1,0)</f>
        <v>0</v>
      </c>
      <c r="I47" s="12" t="n">
        <f aca="false">IF($A47="",0,IF(N(INDEX('In gebruik'!$W:$W,ROW()+(-3)))&gt;0,N(INDEX('In gebruik'!$W:$W,ROW()+(-3))),IF(G47&gt;0,MAX(F47+G47,p_Start),0)))</f>
        <v>0</v>
      </c>
      <c r="J47" s="22" t="str">
        <f aca="false">IF($A47="","",IF(AND(G47&gt;0,F47+G47&lt;p_Start),"Over levensduur",IF(AND(I47&gt;0,I47&lt;=p_Start+3),"In begrotingsperiode","")))</f>
        <v/>
      </c>
      <c r="K47" s="23" t="n">
        <f aca="false">IF($E47="Lease-koop",p_Aanbet,0)</f>
        <v>0</v>
      </c>
      <c r="L47" s="23" t="n">
        <f aca="false">IF($E47="Lease-koop",p_Belet,0)</f>
        <v>0</v>
      </c>
      <c r="M47" s="23" t="n">
        <f aca="false">IF($E47="Lease-koop",p_Opbouw,0)</f>
        <v>0</v>
      </c>
      <c r="N47" s="23" t="n">
        <f aca="false">IF($E47="Lease-koop",p_Slot,0)</f>
        <v>0</v>
      </c>
      <c r="O47" s="12" t="n">
        <f aca="false">IF($E47="Lease-koop",I47+p_SlotJr,0)</f>
        <v>0</v>
      </c>
      <c r="P47" s="23" t="n">
        <f aca="false">IF($E47="Koop",N(INDEX('In gebruik'!$V:$V,ROW()+(-3))),0)</f>
        <v>0</v>
      </c>
      <c r="Q47" s="23" t="n">
        <f aca="false">K47+L47+M47+N47+P47</f>
        <v>0</v>
      </c>
      <c r="R47" s="12" t="n">
        <f aca="false">IF($E47="Lease-koop",p_AfschrLK,IF($E47="Koop",G47,0))</f>
        <v>0</v>
      </c>
      <c r="S47" s="23" t="n">
        <f aca="false">IF(R47&gt;0,Q47/R47,0)</f>
        <v>0</v>
      </c>
      <c r="T47" s="12" t="n">
        <f aca="false">IF($E47="Lease-koop",O47+1,IF($E47="Koop",I47+1,0))</f>
        <v>0</v>
      </c>
      <c r="U47" s="23" t="n">
        <f aca="false">IF($E47="Lease-koop",p_Lease,0)</f>
        <v>0</v>
      </c>
      <c r="V47" s="24" t="n">
        <f aca="false">IF($A47="",0,N(INDEX('In gebruik'!$R:$R,ROW()+(-3))))</f>
        <v>0</v>
      </c>
      <c r="W47" s="24" t="n">
        <f aca="false">IF($A47="",0,N(INDEX('In gebruik'!$S:$S,ROW()+(-3))))</f>
        <v>0</v>
      </c>
      <c r="X47" s="21" t="n">
        <f aca="false">IF(W47&gt;0,N(INDEX('In gebruik'!$T:$T,ROW()+(-3))),0)</f>
        <v>0</v>
      </c>
      <c r="Y47" s="24" t="n">
        <f aca="false">IF(W47&gt;0,IF(N(INDEX('In gebruik'!$P:$P,ROW()+(-3)))&gt;0,N(INDEX('In gebruik'!$P:$P,ROW()+(-3))),p_Lease),0)</f>
        <v>0</v>
      </c>
      <c r="AA47" s="23" t="n">
        <f aca="false">IF($Q47+$W47=0,0,IF(AA$7=$I47,$K47+$L47+$M47+$P47,0)+IF(AA$7=$O47,$N47,0)+IF(AA$7=$X47,$W47,0))</f>
        <v>0</v>
      </c>
      <c r="AB47" s="23" t="n">
        <f aca="false">IF($Q47+$W47=0,0,IF(AB$7=$I47,$K47+$L47+$M47+$P47,0)+IF(AB$7=$O47,$N47,0)+IF(AB$7=$X47,$W47,0))</f>
        <v>0</v>
      </c>
      <c r="AC47" s="23" t="n">
        <f aca="false">IF($Q47+$W47=0,0,IF(AC$7=$I47,$K47+$L47+$M47+$P47,0)+IF(AC$7=$O47,$N47,0)+IF(AC$7=$X47,$W47,0))</f>
        <v>0</v>
      </c>
      <c r="AD47" s="23" t="n">
        <f aca="false">IF($Q47+$W47=0,0,IF(AD$7=$I47,$K47+$L47+$M47+$P47,0)+IF(AD$7=$O47,$N47,0)+IF(AD$7=$X47,$W47,0))</f>
        <v>0</v>
      </c>
      <c r="AE47" s="23" t="n">
        <f aca="false">IF($Q47+$W47=0,0,IF(AE$7=$I47,$K47+$L47+$M47+$P47,0)+IF(AE$7=$O47,$N47,0)+IF(AE$7=$X47,$W47,0))</f>
        <v>0</v>
      </c>
      <c r="AF47" s="23" t="n">
        <f aca="false">IF($Q47+$W47=0,0,IF(AF$7=$I47,$K47+$L47+$M47+$P47,0)+IF(AF$7=$O47,$N47,0)+IF(AF$7=$X47,$W47,0))</f>
        <v>0</v>
      </c>
      <c r="AG47" s="23" t="n">
        <f aca="false">IF($Q47+$W47=0,0,IF(AG$7=$I47,$K47+$L47+$M47+$P47,0)+IF(AG$7=$O47,$N47,0)+IF(AG$7=$X47,$W47,0))</f>
        <v>0</v>
      </c>
      <c r="AH47" s="23" t="n">
        <f aca="false">IF($Q47+$W47=0,0,IF(AH$7=$I47,$K47+$L47+$M47+$P47,0)+IF(AH$7=$O47,$N47,0)+IF(AH$7=$X47,$W47,0))</f>
        <v>0</v>
      </c>
      <c r="AJ47" s="23" t="n">
        <f aca="false">IF(AND($S47&gt;0,AJ$7&gt;=$T47,AJ$7&lt;$T47+$R47),$S47,0)+IF(AND($W47&gt;0,AJ$7&gt;$X47,AJ$7&lt;=$X47+p_AfschrLK),($V47+$W47)/p_AfschrLK,0)</f>
        <v>0</v>
      </c>
      <c r="AK47" s="23" t="n">
        <f aca="false">IF(AND($S47&gt;0,AK$7&gt;=$T47,AK$7&lt;$T47+$R47),$S47,0)+IF(AND($W47&gt;0,AK$7&gt;$X47,AK$7&lt;=$X47+p_AfschrLK),($V47+$W47)/p_AfschrLK,0)</f>
        <v>0</v>
      </c>
      <c r="AL47" s="23" t="n">
        <f aca="false">IF(AND($S47&gt;0,AL$7&gt;=$T47,AL$7&lt;$T47+$R47),$S47,0)+IF(AND($W47&gt;0,AL$7&gt;$X47,AL$7&lt;=$X47+p_AfschrLK),($V47+$W47)/p_AfschrLK,0)</f>
        <v>0</v>
      </c>
      <c r="AM47" s="23" t="n">
        <f aca="false">IF(AND($S47&gt;0,AM$7&gt;=$T47,AM$7&lt;$T47+$R47),$S47,0)+IF(AND($W47&gt;0,AM$7&gt;$X47,AM$7&lt;=$X47+p_AfschrLK),($V47+$W47)/p_AfschrLK,0)</f>
        <v>0</v>
      </c>
      <c r="AN47" s="23" t="n">
        <f aca="false">IF(AND($S47&gt;0,AN$7&gt;=$T47,AN$7&lt;$T47+$R47),$S47,0)+IF(AND($W47&gt;0,AN$7&gt;$X47,AN$7&lt;=$X47+p_AfschrLK),($V47+$W47)/p_AfschrLK,0)</f>
        <v>0</v>
      </c>
      <c r="AO47" s="23" t="n">
        <f aca="false">IF(AND($S47&gt;0,AO$7&gt;=$T47,AO$7&lt;$T47+$R47),$S47,0)+IF(AND($W47&gt;0,AO$7&gt;$X47,AO$7&lt;=$X47+p_AfschrLK),($V47+$W47)/p_AfschrLK,0)</f>
        <v>0</v>
      </c>
      <c r="AP47" s="23" t="n">
        <f aca="false">IF(AND($S47&gt;0,AP$7&gt;=$T47,AP$7&lt;$T47+$R47),$S47,0)+IF(AND($W47&gt;0,AP$7&gt;$X47,AP$7&lt;=$X47+p_AfschrLK),($V47+$W47)/p_AfschrLK,0)</f>
        <v>0</v>
      </c>
      <c r="AQ47" s="23" t="n">
        <f aca="false">IF(AND($S47&gt;0,AQ$7&gt;=$T47,AQ$7&lt;$T47+$R47),$S47,0)+IF(AND($W47&gt;0,AQ$7&gt;$X47,AQ$7&lt;=$X47+p_AfschrLK),($V47+$W47)/p_AfschrLK,0)</f>
        <v>0</v>
      </c>
    </row>
    <row r="48" customFormat="false" ht="15" hidden="false" customHeight="false" outlineLevel="0" collapsed="false">
      <c r="A48" s="20" t="str">
        <f aca="false">IF(INDEX('In gebruik'!$A:$A,ROW()+(-3))="","",INDEX('In gebruik'!$A:$A,ROW()+(-3)))</f>
        <v/>
      </c>
      <c r="B48" s="20" t="str">
        <f aca="false">IF($A48="","",INDEX('In gebruik'!$B:$B,ROW()+(-3))&amp;"")</f>
        <v/>
      </c>
      <c r="C48" s="20" t="str">
        <f aca="false">IF($A48="","",INDEX('In gebruik'!$H:$H,ROW()+(-3))&amp;"")</f>
        <v/>
      </c>
      <c r="D48" s="20" t="str">
        <f aca="false">IF($A48="","",INDEX('In gebruik'!$G:$G,ROW()+(-3))&amp;"")</f>
        <v/>
      </c>
      <c r="E48" s="20" t="str">
        <f aca="false">IF($A48="","",INDEX('In gebruik'!$U:$U,ROW()+(-3))&amp;"")</f>
        <v/>
      </c>
      <c r="F48" s="21" t="n">
        <f aca="false">IF($A48="",0,N(INDEX('In gebruik'!$J:$J,ROW()+(-3))))</f>
        <v>0</v>
      </c>
      <c r="G48" s="21" t="n">
        <f aca="false">IF($A48="",0,N(INDEX('In gebruik'!$K:$K,ROW()+(-3))))</f>
        <v>0</v>
      </c>
      <c r="H48" s="12" t="n">
        <f aca="false">IF(G48&gt;0,F48+G48-1,0)</f>
        <v>0</v>
      </c>
      <c r="I48" s="12" t="n">
        <f aca="false">IF($A48="",0,IF(N(INDEX('In gebruik'!$W:$W,ROW()+(-3)))&gt;0,N(INDEX('In gebruik'!$W:$W,ROW()+(-3))),IF(G48&gt;0,MAX(F48+G48,p_Start),0)))</f>
        <v>0</v>
      </c>
      <c r="J48" s="22" t="str">
        <f aca="false">IF($A48="","",IF(AND(G48&gt;0,F48+G48&lt;p_Start),"Over levensduur",IF(AND(I48&gt;0,I48&lt;=p_Start+3),"In begrotingsperiode","")))</f>
        <v/>
      </c>
      <c r="K48" s="23" t="n">
        <f aca="false">IF($E48="Lease-koop",p_Aanbet,0)</f>
        <v>0</v>
      </c>
      <c r="L48" s="23" t="n">
        <f aca="false">IF($E48="Lease-koop",p_Belet,0)</f>
        <v>0</v>
      </c>
      <c r="M48" s="23" t="n">
        <f aca="false">IF($E48="Lease-koop",p_Opbouw,0)</f>
        <v>0</v>
      </c>
      <c r="N48" s="23" t="n">
        <f aca="false">IF($E48="Lease-koop",p_Slot,0)</f>
        <v>0</v>
      </c>
      <c r="O48" s="12" t="n">
        <f aca="false">IF($E48="Lease-koop",I48+p_SlotJr,0)</f>
        <v>0</v>
      </c>
      <c r="P48" s="23" t="n">
        <f aca="false">IF($E48="Koop",N(INDEX('In gebruik'!$V:$V,ROW()+(-3))),0)</f>
        <v>0</v>
      </c>
      <c r="Q48" s="23" t="n">
        <f aca="false">K48+L48+M48+N48+P48</f>
        <v>0</v>
      </c>
      <c r="R48" s="12" t="n">
        <f aca="false">IF($E48="Lease-koop",p_AfschrLK,IF($E48="Koop",G48,0))</f>
        <v>0</v>
      </c>
      <c r="S48" s="23" t="n">
        <f aca="false">IF(R48&gt;0,Q48/R48,0)</f>
        <v>0</v>
      </c>
      <c r="T48" s="12" t="n">
        <f aca="false">IF($E48="Lease-koop",O48+1,IF($E48="Koop",I48+1,0))</f>
        <v>0</v>
      </c>
      <c r="U48" s="23" t="n">
        <f aca="false">IF($E48="Lease-koop",p_Lease,0)</f>
        <v>0</v>
      </c>
      <c r="V48" s="24" t="n">
        <f aca="false">IF($A48="",0,N(INDEX('In gebruik'!$R:$R,ROW()+(-3))))</f>
        <v>0</v>
      </c>
      <c r="W48" s="24" t="n">
        <f aca="false">IF($A48="",0,N(INDEX('In gebruik'!$S:$S,ROW()+(-3))))</f>
        <v>0</v>
      </c>
      <c r="X48" s="21" t="n">
        <f aca="false">IF(W48&gt;0,N(INDEX('In gebruik'!$T:$T,ROW()+(-3))),0)</f>
        <v>0</v>
      </c>
      <c r="Y48" s="24" t="n">
        <f aca="false">IF(W48&gt;0,IF(N(INDEX('In gebruik'!$P:$P,ROW()+(-3)))&gt;0,N(INDEX('In gebruik'!$P:$P,ROW()+(-3))),p_Lease),0)</f>
        <v>0</v>
      </c>
      <c r="AA48" s="23" t="n">
        <f aca="false">IF($Q48+$W48=0,0,IF(AA$7=$I48,$K48+$L48+$M48+$P48,0)+IF(AA$7=$O48,$N48,0)+IF(AA$7=$X48,$W48,0))</f>
        <v>0</v>
      </c>
      <c r="AB48" s="23" t="n">
        <f aca="false">IF($Q48+$W48=0,0,IF(AB$7=$I48,$K48+$L48+$M48+$P48,0)+IF(AB$7=$O48,$N48,0)+IF(AB$7=$X48,$W48,0))</f>
        <v>0</v>
      </c>
      <c r="AC48" s="23" t="n">
        <f aca="false">IF($Q48+$W48=0,0,IF(AC$7=$I48,$K48+$L48+$M48+$P48,0)+IF(AC$7=$O48,$N48,0)+IF(AC$7=$X48,$W48,0))</f>
        <v>0</v>
      </c>
      <c r="AD48" s="23" t="n">
        <f aca="false">IF($Q48+$W48=0,0,IF(AD$7=$I48,$K48+$L48+$M48+$P48,0)+IF(AD$7=$O48,$N48,0)+IF(AD$7=$X48,$W48,0))</f>
        <v>0</v>
      </c>
      <c r="AE48" s="23" t="n">
        <f aca="false">IF($Q48+$W48=0,0,IF(AE$7=$I48,$K48+$L48+$M48+$P48,0)+IF(AE$7=$O48,$N48,0)+IF(AE$7=$X48,$W48,0))</f>
        <v>0</v>
      </c>
      <c r="AF48" s="23" t="n">
        <f aca="false">IF($Q48+$W48=0,0,IF(AF$7=$I48,$K48+$L48+$M48+$P48,0)+IF(AF$7=$O48,$N48,0)+IF(AF$7=$X48,$W48,0))</f>
        <v>0</v>
      </c>
      <c r="AG48" s="23" t="n">
        <f aca="false">IF($Q48+$W48=0,0,IF(AG$7=$I48,$K48+$L48+$M48+$P48,0)+IF(AG$7=$O48,$N48,0)+IF(AG$7=$X48,$W48,0))</f>
        <v>0</v>
      </c>
      <c r="AH48" s="23" t="n">
        <f aca="false">IF($Q48+$W48=0,0,IF(AH$7=$I48,$K48+$L48+$M48+$P48,0)+IF(AH$7=$O48,$N48,0)+IF(AH$7=$X48,$W48,0))</f>
        <v>0</v>
      </c>
      <c r="AJ48" s="23" t="n">
        <f aca="false">IF(AND($S48&gt;0,AJ$7&gt;=$T48,AJ$7&lt;$T48+$R48),$S48,0)+IF(AND($W48&gt;0,AJ$7&gt;$X48,AJ$7&lt;=$X48+p_AfschrLK),($V48+$W48)/p_AfschrLK,0)</f>
        <v>0</v>
      </c>
      <c r="AK48" s="23" t="n">
        <f aca="false">IF(AND($S48&gt;0,AK$7&gt;=$T48,AK$7&lt;$T48+$R48),$S48,0)+IF(AND($W48&gt;0,AK$7&gt;$X48,AK$7&lt;=$X48+p_AfschrLK),($V48+$W48)/p_AfschrLK,0)</f>
        <v>0</v>
      </c>
      <c r="AL48" s="23" t="n">
        <f aca="false">IF(AND($S48&gt;0,AL$7&gt;=$T48,AL$7&lt;$T48+$R48),$S48,0)+IF(AND($W48&gt;0,AL$7&gt;$X48,AL$7&lt;=$X48+p_AfschrLK),($V48+$W48)/p_AfschrLK,0)</f>
        <v>0</v>
      </c>
      <c r="AM48" s="23" t="n">
        <f aca="false">IF(AND($S48&gt;0,AM$7&gt;=$T48,AM$7&lt;$T48+$R48),$S48,0)+IF(AND($W48&gt;0,AM$7&gt;$X48,AM$7&lt;=$X48+p_AfschrLK),($V48+$W48)/p_AfschrLK,0)</f>
        <v>0</v>
      </c>
      <c r="AN48" s="23" t="n">
        <f aca="false">IF(AND($S48&gt;0,AN$7&gt;=$T48,AN$7&lt;$T48+$R48),$S48,0)+IF(AND($W48&gt;0,AN$7&gt;$X48,AN$7&lt;=$X48+p_AfschrLK),($V48+$W48)/p_AfschrLK,0)</f>
        <v>0</v>
      </c>
      <c r="AO48" s="23" t="n">
        <f aca="false">IF(AND($S48&gt;0,AO$7&gt;=$T48,AO$7&lt;$T48+$R48),$S48,0)+IF(AND($W48&gt;0,AO$7&gt;$X48,AO$7&lt;=$X48+p_AfschrLK),($V48+$W48)/p_AfschrLK,0)</f>
        <v>0</v>
      </c>
      <c r="AP48" s="23" t="n">
        <f aca="false">IF(AND($S48&gt;0,AP$7&gt;=$T48,AP$7&lt;$T48+$R48),$S48,0)+IF(AND($W48&gt;0,AP$7&gt;$X48,AP$7&lt;=$X48+p_AfschrLK),($V48+$W48)/p_AfschrLK,0)</f>
        <v>0</v>
      </c>
      <c r="AQ48" s="23" t="n">
        <f aca="false">IF(AND($S48&gt;0,AQ$7&gt;=$T48,AQ$7&lt;$T48+$R48),$S48,0)+IF(AND($W48&gt;0,AQ$7&gt;$X48,AQ$7&lt;=$X48+p_AfschrLK),($V48+$W48)/p_AfschrLK,0)</f>
        <v>0</v>
      </c>
    </row>
    <row r="49" customFormat="false" ht="15" hidden="false" customHeight="false" outlineLevel="0" collapsed="false">
      <c r="A49" s="20" t="str">
        <f aca="false">IF(INDEX('In gebruik'!$A:$A,ROW()+(-3))="","",INDEX('In gebruik'!$A:$A,ROW()+(-3)))</f>
        <v/>
      </c>
      <c r="B49" s="20" t="str">
        <f aca="false">IF($A49="","",INDEX('In gebruik'!$B:$B,ROW()+(-3))&amp;"")</f>
        <v/>
      </c>
      <c r="C49" s="20" t="str">
        <f aca="false">IF($A49="","",INDEX('In gebruik'!$H:$H,ROW()+(-3))&amp;"")</f>
        <v/>
      </c>
      <c r="D49" s="20" t="str">
        <f aca="false">IF($A49="","",INDEX('In gebruik'!$G:$G,ROW()+(-3))&amp;"")</f>
        <v/>
      </c>
      <c r="E49" s="20" t="str">
        <f aca="false">IF($A49="","",INDEX('In gebruik'!$U:$U,ROW()+(-3))&amp;"")</f>
        <v/>
      </c>
      <c r="F49" s="21" t="n">
        <f aca="false">IF($A49="",0,N(INDEX('In gebruik'!$J:$J,ROW()+(-3))))</f>
        <v>0</v>
      </c>
      <c r="G49" s="21" t="n">
        <f aca="false">IF($A49="",0,N(INDEX('In gebruik'!$K:$K,ROW()+(-3))))</f>
        <v>0</v>
      </c>
      <c r="H49" s="12" t="n">
        <f aca="false">IF(G49&gt;0,F49+G49-1,0)</f>
        <v>0</v>
      </c>
      <c r="I49" s="12" t="n">
        <f aca="false">IF($A49="",0,IF(N(INDEX('In gebruik'!$W:$W,ROW()+(-3)))&gt;0,N(INDEX('In gebruik'!$W:$W,ROW()+(-3))),IF(G49&gt;0,MAX(F49+G49,p_Start),0)))</f>
        <v>0</v>
      </c>
      <c r="J49" s="22" t="str">
        <f aca="false">IF($A49="","",IF(AND(G49&gt;0,F49+G49&lt;p_Start),"Over levensduur",IF(AND(I49&gt;0,I49&lt;=p_Start+3),"In begrotingsperiode","")))</f>
        <v/>
      </c>
      <c r="K49" s="23" t="n">
        <f aca="false">IF($E49="Lease-koop",p_Aanbet,0)</f>
        <v>0</v>
      </c>
      <c r="L49" s="23" t="n">
        <f aca="false">IF($E49="Lease-koop",p_Belet,0)</f>
        <v>0</v>
      </c>
      <c r="M49" s="23" t="n">
        <f aca="false">IF($E49="Lease-koop",p_Opbouw,0)</f>
        <v>0</v>
      </c>
      <c r="N49" s="23" t="n">
        <f aca="false">IF($E49="Lease-koop",p_Slot,0)</f>
        <v>0</v>
      </c>
      <c r="O49" s="12" t="n">
        <f aca="false">IF($E49="Lease-koop",I49+p_SlotJr,0)</f>
        <v>0</v>
      </c>
      <c r="P49" s="23" t="n">
        <f aca="false">IF($E49="Koop",N(INDEX('In gebruik'!$V:$V,ROW()+(-3))),0)</f>
        <v>0</v>
      </c>
      <c r="Q49" s="23" t="n">
        <f aca="false">K49+L49+M49+N49+P49</f>
        <v>0</v>
      </c>
      <c r="R49" s="12" t="n">
        <f aca="false">IF($E49="Lease-koop",p_AfschrLK,IF($E49="Koop",G49,0))</f>
        <v>0</v>
      </c>
      <c r="S49" s="23" t="n">
        <f aca="false">IF(R49&gt;0,Q49/R49,0)</f>
        <v>0</v>
      </c>
      <c r="T49" s="12" t="n">
        <f aca="false">IF($E49="Lease-koop",O49+1,IF($E49="Koop",I49+1,0))</f>
        <v>0</v>
      </c>
      <c r="U49" s="23" t="n">
        <f aca="false">IF($E49="Lease-koop",p_Lease,0)</f>
        <v>0</v>
      </c>
      <c r="V49" s="24" t="n">
        <f aca="false">IF($A49="",0,N(INDEX('In gebruik'!$R:$R,ROW()+(-3))))</f>
        <v>0</v>
      </c>
      <c r="W49" s="24" t="n">
        <f aca="false">IF($A49="",0,N(INDEX('In gebruik'!$S:$S,ROW()+(-3))))</f>
        <v>0</v>
      </c>
      <c r="X49" s="21" t="n">
        <f aca="false">IF(W49&gt;0,N(INDEX('In gebruik'!$T:$T,ROW()+(-3))),0)</f>
        <v>0</v>
      </c>
      <c r="Y49" s="24" t="n">
        <f aca="false">IF(W49&gt;0,IF(N(INDEX('In gebruik'!$P:$P,ROW()+(-3)))&gt;0,N(INDEX('In gebruik'!$P:$P,ROW()+(-3))),p_Lease),0)</f>
        <v>0</v>
      </c>
      <c r="AA49" s="23" t="n">
        <f aca="false">IF($Q49+$W49=0,0,IF(AA$7=$I49,$K49+$L49+$M49+$P49,0)+IF(AA$7=$O49,$N49,0)+IF(AA$7=$X49,$W49,0))</f>
        <v>0</v>
      </c>
      <c r="AB49" s="23" t="n">
        <f aca="false">IF($Q49+$W49=0,0,IF(AB$7=$I49,$K49+$L49+$M49+$P49,0)+IF(AB$7=$O49,$N49,0)+IF(AB$7=$X49,$W49,0))</f>
        <v>0</v>
      </c>
      <c r="AC49" s="23" t="n">
        <f aca="false">IF($Q49+$W49=0,0,IF(AC$7=$I49,$K49+$L49+$M49+$P49,0)+IF(AC$7=$O49,$N49,0)+IF(AC$7=$X49,$W49,0))</f>
        <v>0</v>
      </c>
      <c r="AD49" s="23" t="n">
        <f aca="false">IF($Q49+$W49=0,0,IF(AD$7=$I49,$K49+$L49+$M49+$P49,0)+IF(AD$7=$O49,$N49,0)+IF(AD$7=$X49,$W49,0))</f>
        <v>0</v>
      </c>
      <c r="AE49" s="23" t="n">
        <f aca="false">IF($Q49+$W49=0,0,IF(AE$7=$I49,$K49+$L49+$M49+$P49,0)+IF(AE$7=$O49,$N49,0)+IF(AE$7=$X49,$W49,0))</f>
        <v>0</v>
      </c>
      <c r="AF49" s="23" t="n">
        <f aca="false">IF($Q49+$W49=0,0,IF(AF$7=$I49,$K49+$L49+$M49+$P49,0)+IF(AF$7=$O49,$N49,0)+IF(AF$7=$X49,$W49,0))</f>
        <v>0</v>
      </c>
      <c r="AG49" s="23" t="n">
        <f aca="false">IF($Q49+$W49=0,0,IF(AG$7=$I49,$K49+$L49+$M49+$P49,0)+IF(AG$7=$O49,$N49,0)+IF(AG$7=$X49,$W49,0))</f>
        <v>0</v>
      </c>
      <c r="AH49" s="23" t="n">
        <f aca="false">IF($Q49+$W49=0,0,IF(AH$7=$I49,$K49+$L49+$M49+$P49,0)+IF(AH$7=$O49,$N49,0)+IF(AH$7=$X49,$W49,0))</f>
        <v>0</v>
      </c>
      <c r="AJ49" s="23" t="n">
        <f aca="false">IF(AND($S49&gt;0,AJ$7&gt;=$T49,AJ$7&lt;$T49+$R49),$S49,0)+IF(AND($W49&gt;0,AJ$7&gt;$X49,AJ$7&lt;=$X49+p_AfschrLK),($V49+$W49)/p_AfschrLK,0)</f>
        <v>0</v>
      </c>
      <c r="AK49" s="23" t="n">
        <f aca="false">IF(AND($S49&gt;0,AK$7&gt;=$T49,AK$7&lt;$T49+$R49),$S49,0)+IF(AND($W49&gt;0,AK$7&gt;$X49,AK$7&lt;=$X49+p_AfschrLK),($V49+$W49)/p_AfschrLK,0)</f>
        <v>0</v>
      </c>
      <c r="AL49" s="23" t="n">
        <f aca="false">IF(AND($S49&gt;0,AL$7&gt;=$T49,AL$7&lt;$T49+$R49),$S49,0)+IF(AND($W49&gt;0,AL$7&gt;$X49,AL$7&lt;=$X49+p_AfschrLK),($V49+$W49)/p_AfschrLK,0)</f>
        <v>0</v>
      </c>
      <c r="AM49" s="23" t="n">
        <f aca="false">IF(AND($S49&gt;0,AM$7&gt;=$T49,AM$7&lt;$T49+$R49),$S49,0)+IF(AND($W49&gt;0,AM$7&gt;$X49,AM$7&lt;=$X49+p_AfschrLK),($V49+$W49)/p_AfschrLK,0)</f>
        <v>0</v>
      </c>
      <c r="AN49" s="23" t="n">
        <f aca="false">IF(AND($S49&gt;0,AN$7&gt;=$T49,AN$7&lt;$T49+$R49),$S49,0)+IF(AND($W49&gt;0,AN$7&gt;$X49,AN$7&lt;=$X49+p_AfschrLK),($V49+$W49)/p_AfschrLK,0)</f>
        <v>0</v>
      </c>
      <c r="AO49" s="23" t="n">
        <f aca="false">IF(AND($S49&gt;0,AO$7&gt;=$T49,AO$7&lt;$T49+$R49),$S49,0)+IF(AND($W49&gt;0,AO$7&gt;$X49,AO$7&lt;=$X49+p_AfschrLK),($V49+$W49)/p_AfschrLK,0)</f>
        <v>0</v>
      </c>
      <c r="AP49" s="23" t="n">
        <f aca="false">IF(AND($S49&gt;0,AP$7&gt;=$T49,AP$7&lt;$T49+$R49),$S49,0)+IF(AND($W49&gt;0,AP$7&gt;$X49,AP$7&lt;=$X49+p_AfschrLK),($V49+$W49)/p_AfschrLK,0)</f>
        <v>0</v>
      </c>
      <c r="AQ49" s="23" t="n">
        <f aca="false">IF(AND($S49&gt;0,AQ$7&gt;=$T49,AQ$7&lt;$T49+$R49),$S49,0)+IF(AND($W49&gt;0,AQ$7&gt;$X49,AQ$7&lt;=$X49+p_AfschrLK),($V49+$W49)/p_AfschrLK,0)</f>
        <v>0</v>
      </c>
    </row>
    <row r="50" customFormat="false" ht="15" hidden="false" customHeight="false" outlineLevel="0" collapsed="false">
      <c r="A50" s="20" t="str">
        <f aca="false">IF(INDEX('In gebruik'!$A:$A,ROW()+(-3))="","",INDEX('In gebruik'!$A:$A,ROW()+(-3)))</f>
        <v/>
      </c>
      <c r="B50" s="20" t="str">
        <f aca="false">IF($A50="","",INDEX('In gebruik'!$B:$B,ROW()+(-3))&amp;"")</f>
        <v/>
      </c>
      <c r="C50" s="20" t="str">
        <f aca="false">IF($A50="","",INDEX('In gebruik'!$H:$H,ROW()+(-3))&amp;"")</f>
        <v/>
      </c>
      <c r="D50" s="20" t="str">
        <f aca="false">IF($A50="","",INDEX('In gebruik'!$G:$G,ROW()+(-3))&amp;"")</f>
        <v/>
      </c>
      <c r="E50" s="20" t="str">
        <f aca="false">IF($A50="","",INDEX('In gebruik'!$U:$U,ROW()+(-3))&amp;"")</f>
        <v/>
      </c>
      <c r="F50" s="21" t="n">
        <f aca="false">IF($A50="",0,N(INDEX('In gebruik'!$J:$J,ROW()+(-3))))</f>
        <v>0</v>
      </c>
      <c r="G50" s="21" t="n">
        <f aca="false">IF($A50="",0,N(INDEX('In gebruik'!$K:$K,ROW()+(-3))))</f>
        <v>0</v>
      </c>
      <c r="H50" s="12" t="n">
        <f aca="false">IF(G50&gt;0,F50+G50-1,0)</f>
        <v>0</v>
      </c>
      <c r="I50" s="12" t="n">
        <f aca="false">IF($A50="",0,IF(N(INDEX('In gebruik'!$W:$W,ROW()+(-3)))&gt;0,N(INDEX('In gebruik'!$W:$W,ROW()+(-3))),IF(G50&gt;0,MAX(F50+G50,p_Start),0)))</f>
        <v>0</v>
      </c>
      <c r="J50" s="22" t="str">
        <f aca="false">IF($A50="","",IF(AND(G50&gt;0,F50+G50&lt;p_Start),"Over levensduur",IF(AND(I50&gt;0,I50&lt;=p_Start+3),"In begrotingsperiode","")))</f>
        <v/>
      </c>
      <c r="K50" s="23" t="n">
        <f aca="false">IF($E50="Lease-koop",p_Aanbet,0)</f>
        <v>0</v>
      </c>
      <c r="L50" s="23" t="n">
        <f aca="false">IF($E50="Lease-koop",p_Belet,0)</f>
        <v>0</v>
      </c>
      <c r="M50" s="23" t="n">
        <f aca="false">IF($E50="Lease-koop",p_Opbouw,0)</f>
        <v>0</v>
      </c>
      <c r="N50" s="23" t="n">
        <f aca="false">IF($E50="Lease-koop",p_Slot,0)</f>
        <v>0</v>
      </c>
      <c r="O50" s="12" t="n">
        <f aca="false">IF($E50="Lease-koop",I50+p_SlotJr,0)</f>
        <v>0</v>
      </c>
      <c r="P50" s="23" t="n">
        <f aca="false">IF($E50="Koop",N(INDEX('In gebruik'!$V:$V,ROW()+(-3))),0)</f>
        <v>0</v>
      </c>
      <c r="Q50" s="23" t="n">
        <f aca="false">K50+L50+M50+N50+P50</f>
        <v>0</v>
      </c>
      <c r="R50" s="12" t="n">
        <f aca="false">IF($E50="Lease-koop",p_AfschrLK,IF($E50="Koop",G50,0))</f>
        <v>0</v>
      </c>
      <c r="S50" s="23" t="n">
        <f aca="false">IF(R50&gt;0,Q50/R50,0)</f>
        <v>0</v>
      </c>
      <c r="T50" s="12" t="n">
        <f aca="false">IF($E50="Lease-koop",O50+1,IF($E50="Koop",I50+1,0))</f>
        <v>0</v>
      </c>
      <c r="U50" s="23" t="n">
        <f aca="false">IF($E50="Lease-koop",p_Lease,0)</f>
        <v>0</v>
      </c>
      <c r="V50" s="24" t="n">
        <f aca="false">IF($A50="",0,N(INDEX('In gebruik'!$R:$R,ROW()+(-3))))</f>
        <v>0</v>
      </c>
      <c r="W50" s="24" t="n">
        <f aca="false">IF($A50="",0,N(INDEX('In gebruik'!$S:$S,ROW()+(-3))))</f>
        <v>0</v>
      </c>
      <c r="X50" s="21" t="n">
        <f aca="false">IF(W50&gt;0,N(INDEX('In gebruik'!$T:$T,ROW()+(-3))),0)</f>
        <v>0</v>
      </c>
      <c r="Y50" s="24" t="n">
        <f aca="false">IF(W50&gt;0,IF(N(INDEX('In gebruik'!$P:$P,ROW()+(-3)))&gt;0,N(INDEX('In gebruik'!$P:$P,ROW()+(-3))),p_Lease),0)</f>
        <v>0</v>
      </c>
      <c r="AA50" s="23" t="n">
        <f aca="false">IF($Q50+$W50=0,0,IF(AA$7=$I50,$K50+$L50+$M50+$P50,0)+IF(AA$7=$O50,$N50,0)+IF(AA$7=$X50,$W50,0))</f>
        <v>0</v>
      </c>
      <c r="AB50" s="23" t="n">
        <f aca="false">IF($Q50+$W50=0,0,IF(AB$7=$I50,$K50+$L50+$M50+$P50,0)+IF(AB$7=$O50,$N50,0)+IF(AB$7=$X50,$W50,0))</f>
        <v>0</v>
      </c>
      <c r="AC50" s="23" t="n">
        <f aca="false">IF($Q50+$W50=0,0,IF(AC$7=$I50,$K50+$L50+$M50+$P50,0)+IF(AC$7=$O50,$N50,0)+IF(AC$7=$X50,$W50,0))</f>
        <v>0</v>
      </c>
      <c r="AD50" s="23" t="n">
        <f aca="false">IF($Q50+$W50=0,0,IF(AD$7=$I50,$K50+$L50+$M50+$P50,0)+IF(AD$7=$O50,$N50,0)+IF(AD$7=$X50,$W50,0))</f>
        <v>0</v>
      </c>
      <c r="AE50" s="23" t="n">
        <f aca="false">IF($Q50+$W50=0,0,IF(AE$7=$I50,$K50+$L50+$M50+$P50,0)+IF(AE$7=$O50,$N50,0)+IF(AE$7=$X50,$W50,0))</f>
        <v>0</v>
      </c>
      <c r="AF50" s="23" t="n">
        <f aca="false">IF($Q50+$W50=0,0,IF(AF$7=$I50,$K50+$L50+$M50+$P50,0)+IF(AF$7=$O50,$N50,0)+IF(AF$7=$X50,$W50,0))</f>
        <v>0</v>
      </c>
      <c r="AG50" s="23" t="n">
        <f aca="false">IF($Q50+$W50=0,0,IF(AG$7=$I50,$K50+$L50+$M50+$P50,0)+IF(AG$7=$O50,$N50,0)+IF(AG$7=$X50,$W50,0))</f>
        <v>0</v>
      </c>
      <c r="AH50" s="23" t="n">
        <f aca="false">IF($Q50+$W50=0,0,IF(AH$7=$I50,$K50+$L50+$M50+$P50,0)+IF(AH$7=$O50,$N50,0)+IF(AH$7=$X50,$W50,0))</f>
        <v>0</v>
      </c>
      <c r="AJ50" s="23" t="n">
        <f aca="false">IF(AND($S50&gt;0,AJ$7&gt;=$T50,AJ$7&lt;$T50+$R50),$S50,0)+IF(AND($W50&gt;0,AJ$7&gt;$X50,AJ$7&lt;=$X50+p_AfschrLK),($V50+$W50)/p_AfschrLK,0)</f>
        <v>0</v>
      </c>
      <c r="AK50" s="23" t="n">
        <f aca="false">IF(AND($S50&gt;0,AK$7&gt;=$T50,AK$7&lt;$T50+$R50),$S50,0)+IF(AND($W50&gt;0,AK$7&gt;$X50,AK$7&lt;=$X50+p_AfschrLK),($V50+$W50)/p_AfschrLK,0)</f>
        <v>0</v>
      </c>
      <c r="AL50" s="23" t="n">
        <f aca="false">IF(AND($S50&gt;0,AL$7&gt;=$T50,AL$7&lt;$T50+$R50),$S50,0)+IF(AND($W50&gt;0,AL$7&gt;$X50,AL$7&lt;=$X50+p_AfschrLK),($V50+$W50)/p_AfschrLK,0)</f>
        <v>0</v>
      </c>
      <c r="AM50" s="23" t="n">
        <f aca="false">IF(AND($S50&gt;0,AM$7&gt;=$T50,AM$7&lt;$T50+$R50),$S50,0)+IF(AND($W50&gt;0,AM$7&gt;$X50,AM$7&lt;=$X50+p_AfschrLK),($V50+$W50)/p_AfschrLK,0)</f>
        <v>0</v>
      </c>
      <c r="AN50" s="23" t="n">
        <f aca="false">IF(AND($S50&gt;0,AN$7&gt;=$T50,AN$7&lt;$T50+$R50),$S50,0)+IF(AND($W50&gt;0,AN$7&gt;$X50,AN$7&lt;=$X50+p_AfschrLK),($V50+$W50)/p_AfschrLK,0)</f>
        <v>0</v>
      </c>
      <c r="AO50" s="23" t="n">
        <f aca="false">IF(AND($S50&gt;0,AO$7&gt;=$T50,AO$7&lt;$T50+$R50),$S50,0)+IF(AND($W50&gt;0,AO$7&gt;$X50,AO$7&lt;=$X50+p_AfschrLK),($V50+$W50)/p_AfschrLK,0)</f>
        <v>0</v>
      </c>
      <c r="AP50" s="23" t="n">
        <f aca="false">IF(AND($S50&gt;0,AP$7&gt;=$T50,AP$7&lt;$T50+$R50),$S50,0)+IF(AND($W50&gt;0,AP$7&gt;$X50,AP$7&lt;=$X50+p_AfschrLK),($V50+$W50)/p_AfschrLK,0)</f>
        <v>0</v>
      </c>
      <c r="AQ50" s="23" t="n">
        <f aca="false">IF(AND($S50&gt;0,AQ$7&gt;=$T50,AQ$7&lt;$T50+$R50),$S50,0)+IF(AND($W50&gt;0,AQ$7&gt;$X50,AQ$7&lt;=$X50+p_AfschrLK),($V50+$W50)/p_AfschrLK,0)</f>
        <v>0</v>
      </c>
    </row>
    <row r="51" customFormat="false" ht="15" hidden="false" customHeight="false" outlineLevel="0" collapsed="false">
      <c r="A51" s="20" t="str">
        <f aca="false">IF(INDEX('In gebruik'!$A:$A,ROW()+(-3))="","",INDEX('In gebruik'!$A:$A,ROW()+(-3)))</f>
        <v/>
      </c>
      <c r="B51" s="20" t="str">
        <f aca="false">IF($A51="","",INDEX('In gebruik'!$B:$B,ROW()+(-3))&amp;"")</f>
        <v/>
      </c>
      <c r="C51" s="20" t="str">
        <f aca="false">IF($A51="","",INDEX('In gebruik'!$H:$H,ROW()+(-3))&amp;"")</f>
        <v/>
      </c>
      <c r="D51" s="20" t="str">
        <f aca="false">IF($A51="","",INDEX('In gebruik'!$G:$G,ROW()+(-3))&amp;"")</f>
        <v/>
      </c>
      <c r="E51" s="20" t="str">
        <f aca="false">IF($A51="","",INDEX('In gebruik'!$U:$U,ROW()+(-3))&amp;"")</f>
        <v/>
      </c>
      <c r="F51" s="21" t="n">
        <f aca="false">IF($A51="",0,N(INDEX('In gebruik'!$J:$J,ROW()+(-3))))</f>
        <v>0</v>
      </c>
      <c r="G51" s="21" t="n">
        <f aca="false">IF($A51="",0,N(INDEX('In gebruik'!$K:$K,ROW()+(-3))))</f>
        <v>0</v>
      </c>
      <c r="H51" s="12" t="n">
        <f aca="false">IF(G51&gt;0,F51+G51-1,0)</f>
        <v>0</v>
      </c>
      <c r="I51" s="12" t="n">
        <f aca="false">IF($A51="",0,IF(N(INDEX('In gebruik'!$W:$W,ROW()+(-3)))&gt;0,N(INDEX('In gebruik'!$W:$W,ROW()+(-3))),IF(G51&gt;0,MAX(F51+G51,p_Start),0)))</f>
        <v>0</v>
      </c>
      <c r="J51" s="22" t="str">
        <f aca="false">IF($A51="","",IF(AND(G51&gt;0,F51+G51&lt;p_Start),"Over levensduur",IF(AND(I51&gt;0,I51&lt;=p_Start+3),"In begrotingsperiode","")))</f>
        <v/>
      </c>
      <c r="K51" s="23" t="n">
        <f aca="false">IF($E51="Lease-koop",p_Aanbet,0)</f>
        <v>0</v>
      </c>
      <c r="L51" s="23" t="n">
        <f aca="false">IF($E51="Lease-koop",p_Belet,0)</f>
        <v>0</v>
      </c>
      <c r="M51" s="23" t="n">
        <f aca="false">IF($E51="Lease-koop",p_Opbouw,0)</f>
        <v>0</v>
      </c>
      <c r="N51" s="23" t="n">
        <f aca="false">IF($E51="Lease-koop",p_Slot,0)</f>
        <v>0</v>
      </c>
      <c r="O51" s="12" t="n">
        <f aca="false">IF($E51="Lease-koop",I51+p_SlotJr,0)</f>
        <v>0</v>
      </c>
      <c r="P51" s="23" t="n">
        <f aca="false">IF($E51="Koop",N(INDEX('In gebruik'!$V:$V,ROW()+(-3))),0)</f>
        <v>0</v>
      </c>
      <c r="Q51" s="23" t="n">
        <f aca="false">K51+L51+M51+N51+P51</f>
        <v>0</v>
      </c>
      <c r="R51" s="12" t="n">
        <f aca="false">IF($E51="Lease-koop",p_AfschrLK,IF($E51="Koop",G51,0))</f>
        <v>0</v>
      </c>
      <c r="S51" s="23" t="n">
        <f aca="false">IF(R51&gt;0,Q51/R51,0)</f>
        <v>0</v>
      </c>
      <c r="T51" s="12" t="n">
        <f aca="false">IF($E51="Lease-koop",O51+1,IF($E51="Koop",I51+1,0))</f>
        <v>0</v>
      </c>
      <c r="U51" s="23" t="n">
        <f aca="false">IF($E51="Lease-koop",p_Lease,0)</f>
        <v>0</v>
      </c>
      <c r="V51" s="24" t="n">
        <f aca="false">IF($A51="",0,N(INDEX('In gebruik'!$R:$R,ROW()+(-3))))</f>
        <v>0</v>
      </c>
      <c r="W51" s="24" t="n">
        <f aca="false">IF($A51="",0,N(INDEX('In gebruik'!$S:$S,ROW()+(-3))))</f>
        <v>0</v>
      </c>
      <c r="X51" s="21" t="n">
        <f aca="false">IF(W51&gt;0,N(INDEX('In gebruik'!$T:$T,ROW()+(-3))),0)</f>
        <v>0</v>
      </c>
      <c r="Y51" s="24" t="n">
        <f aca="false">IF(W51&gt;0,IF(N(INDEX('In gebruik'!$P:$P,ROW()+(-3)))&gt;0,N(INDEX('In gebruik'!$P:$P,ROW()+(-3))),p_Lease),0)</f>
        <v>0</v>
      </c>
      <c r="AA51" s="23" t="n">
        <f aca="false">IF($Q51+$W51=0,0,IF(AA$7=$I51,$K51+$L51+$M51+$P51,0)+IF(AA$7=$O51,$N51,0)+IF(AA$7=$X51,$W51,0))</f>
        <v>0</v>
      </c>
      <c r="AB51" s="23" t="n">
        <f aca="false">IF($Q51+$W51=0,0,IF(AB$7=$I51,$K51+$L51+$M51+$P51,0)+IF(AB$7=$O51,$N51,0)+IF(AB$7=$X51,$W51,0))</f>
        <v>0</v>
      </c>
      <c r="AC51" s="23" t="n">
        <f aca="false">IF($Q51+$W51=0,0,IF(AC$7=$I51,$K51+$L51+$M51+$P51,0)+IF(AC$7=$O51,$N51,0)+IF(AC$7=$X51,$W51,0))</f>
        <v>0</v>
      </c>
      <c r="AD51" s="23" t="n">
        <f aca="false">IF($Q51+$W51=0,0,IF(AD$7=$I51,$K51+$L51+$M51+$P51,0)+IF(AD$7=$O51,$N51,0)+IF(AD$7=$X51,$W51,0))</f>
        <v>0</v>
      </c>
      <c r="AE51" s="23" t="n">
        <f aca="false">IF($Q51+$W51=0,0,IF(AE$7=$I51,$K51+$L51+$M51+$P51,0)+IF(AE$7=$O51,$N51,0)+IF(AE$7=$X51,$W51,0))</f>
        <v>0</v>
      </c>
      <c r="AF51" s="23" t="n">
        <f aca="false">IF($Q51+$W51=0,0,IF(AF$7=$I51,$K51+$L51+$M51+$P51,0)+IF(AF$7=$O51,$N51,0)+IF(AF$7=$X51,$W51,0))</f>
        <v>0</v>
      </c>
      <c r="AG51" s="23" t="n">
        <f aca="false">IF($Q51+$W51=0,0,IF(AG$7=$I51,$K51+$L51+$M51+$P51,0)+IF(AG$7=$O51,$N51,0)+IF(AG$7=$X51,$W51,0))</f>
        <v>0</v>
      </c>
      <c r="AH51" s="23" t="n">
        <f aca="false">IF($Q51+$W51=0,0,IF(AH$7=$I51,$K51+$L51+$M51+$P51,0)+IF(AH$7=$O51,$N51,0)+IF(AH$7=$X51,$W51,0))</f>
        <v>0</v>
      </c>
      <c r="AJ51" s="23" t="n">
        <f aca="false">IF(AND($S51&gt;0,AJ$7&gt;=$T51,AJ$7&lt;$T51+$R51),$S51,0)+IF(AND($W51&gt;0,AJ$7&gt;$X51,AJ$7&lt;=$X51+p_AfschrLK),($V51+$W51)/p_AfschrLK,0)</f>
        <v>0</v>
      </c>
      <c r="AK51" s="23" t="n">
        <f aca="false">IF(AND($S51&gt;0,AK$7&gt;=$T51,AK$7&lt;$T51+$R51),$S51,0)+IF(AND($W51&gt;0,AK$7&gt;$X51,AK$7&lt;=$X51+p_AfschrLK),($V51+$W51)/p_AfschrLK,0)</f>
        <v>0</v>
      </c>
      <c r="AL51" s="23" t="n">
        <f aca="false">IF(AND($S51&gt;0,AL$7&gt;=$T51,AL$7&lt;$T51+$R51),$S51,0)+IF(AND($W51&gt;0,AL$7&gt;$X51,AL$7&lt;=$X51+p_AfschrLK),($V51+$W51)/p_AfschrLK,0)</f>
        <v>0</v>
      </c>
      <c r="AM51" s="23" t="n">
        <f aca="false">IF(AND($S51&gt;0,AM$7&gt;=$T51,AM$7&lt;$T51+$R51),$S51,0)+IF(AND($W51&gt;0,AM$7&gt;$X51,AM$7&lt;=$X51+p_AfschrLK),($V51+$W51)/p_AfschrLK,0)</f>
        <v>0</v>
      </c>
      <c r="AN51" s="23" t="n">
        <f aca="false">IF(AND($S51&gt;0,AN$7&gt;=$T51,AN$7&lt;$T51+$R51),$S51,0)+IF(AND($W51&gt;0,AN$7&gt;$X51,AN$7&lt;=$X51+p_AfschrLK),($V51+$W51)/p_AfschrLK,0)</f>
        <v>0</v>
      </c>
      <c r="AO51" s="23" t="n">
        <f aca="false">IF(AND($S51&gt;0,AO$7&gt;=$T51,AO$7&lt;$T51+$R51),$S51,0)+IF(AND($W51&gt;0,AO$7&gt;$X51,AO$7&lt;=$X51+p_AfschrLK),($V51+$W51)/p_AfschrLK,0)</f>
        <v>0</v>
      </c>
      <c r="AP51" s="23" t="n">
        <f aca="false">IF(AND($S51&gt;0,AP$7&gt;=$T51,AP$7&lt;$T51+$R51),$S51,0)+IF(AND($W51&gt;0,AP$7&gt;$X51,AP$7&lt;=$X51+p_AfschrLK),($V51+$W51)/p_AfschrLK,0)</f>
        <v>0</v>
      </c>
      <c r="AQ51" s="23" t="n">
        <f aca="false">IF(AND($S51&gt;0,AQ$7&gt;=$T51,AQ$7&lt;$T51+$R51),$S51,0)+IF(AND($W51&gt;0,AQ$7&gt;$X51,AQ$7&lt;=$X51+p_AfschrLK),($V51+$W51)/p_AfschrLK,0)</f>
        <v>0</v>
      </c>
    </row>
    <row r="52" customFormat="false" ht="15" hidden="false" customHeight="false" outlineLevel="0" collapsed="false">
      <c r="A52" s="20" t="str">
        <f aca="false">IF(INDEX('In gebruik'!$A:$A,ROW()+(-3))="","",INDEX('In gebruik'!$A:$A,ROW()+(-3)))</f>
        <v/>
      </c>
      <c r="B52" s="20" t="str">
        <f aca="false">IF($A52="","",INDEX('In gebruik'!$B:$B,ROW()+(-3))&amp;"")</f>
        <v/>
      </c>
      <c r="C52" s="20" t="str">
        <f aca="false">IF($A52="","",INDEX('In gebruik'!$H:$H,ROW()+(-3))&amp;"")</f>
        <v/>
      </c>
      <c r="D52" s="20" t="str">
        <f aca="false">IF($A52="","",INDEX('In gebruik'!$G:$G,ROW()+(-3))&amp;"")</f>
        <v/>
      </c>
      <c r="E52" s="20" t="str">
        <f aca="false">IF($A52="","",INDEX('In gebruik'!$U:$U,ROW()+(-3))&amp;"")</f>
        <v/>
      </c>
      <c r="F52" s="21" t="n">
        <f aca="false">IF($A52="",0,N(INDEX('In gebruik'!$J:$J,ROW()+(-3))))</f>
        <v>0</v>
      </c>
      <c r="G52" s="21" t="n">
        <f aca="false">IF($A52="",0,N(INDEX('In gebruik'!$K:$K,ROW()+(-3))))</f>
        <v>0</v>
      </c>
      <c r="H52" s="12" t="n">
        <f aca="false">IF(G52&gt;0,F52+G52-1,0)</f>
        <v>0</v>
      </c>
      <c r="I52" s="12" t="n">
        <f aca="false">IF($A52="",0,IF(N(INDEX('In gebruik'!$W:$W,ROW()+(-3)))&gt;0,N(INDEX('In gebruik'!$W:$W,ROW()+(-3))),IF(G52&gt;0,MAX(F52+G52,p_Start),0)))</f>
        <v>0</v>
      </c>
      <c r="J52" s="22" t="str">
        <f aca="false">IF($A52="","",IF(AND(G52&gt;0,F52+G52&lt;p_Start),"Over levensduur",IF(AND(I52&gt;0,I52&lt;=p_Start+3),"In begrotingsperiode","")))</f>
        <v/>
      </c>
      <c r="K52" s="23" t="n">
        <f aca="false">IF($E52="Lease-koop",p_Aanbet,0)</f>
        <v>0</v>
      </c>
      <c r="L52" s="23" t="n">
        <f aca="false">IF($E52="Lease-koop",p_Belet,0)</f>
        <v>0</v>
      </c>
      <c r="M52" s="23" t="n">
        <f aca="false">IF($E52="Lease-koop",p_Opbouw,0)</f>
        <v>0</v>
      </c>
      <c r="N52" s="23" t="n">
        <f aca="false">IF($E52="Lease-koop",p_Slot,0)</f>
        <v>0</v>
      </c>
      <c r="O52" s="12" t="n">
        <f aca="false">IF($E52="Lease-koop",I52+p_SlotJr,0)</f>
        <v>0</v>
      </c>
      <c r="P52" s="23" t="n">
        <f aca="false">IF($E52="Koop",N(INDEX('In gebruik'!$V:$V,ROW()+(-3))),0)</f>
        <v>0</v>
      </c>
      <c r="Q52" s="23" t="n">
        <f aca="false">K52+L52+M52+N52+P52</f>
        <v>0</v>
      </c>
      <c r="R52" s="12" t="n">
        <f aca="false">IF($E52="Lease-koop",p_AfschrLK,IF($E52="Koop",G52,0))</f>
        <v>0</v>
      </c>
      <c r="S52" s="23" t="n">
        <f aca="false">IF(R52&gt;0,Q52/R52,0)</f>
        <v>0</v>
      </c>
      <c r="T52" s="12" t="n">
        <f aca="false">IF($E52="Lease-koop",O52+1,IF($E52="Koop",I52+1,0))</f>
        <v>0</v>
      </c>
      <c r="U52" s="23" t="n">
        <f aca="false">IF($E52="Lease-koop",p_Lease,0)</f>
        <v>0</v>
      </c>
      <c r="V52" s="24" t="n">
        <f aca="false">IF($A52="",0,N(INDEX('In gebruik'!$R:$R,ROW()+(-3))))</f>
        <v>0</v>
      </c>
      <c r="W52" s="24" t="n">
        <f aca="false">IF($A52="",0,N(INDEX('In gebruik'!$S:$S,ROW()+(-3))))</f>
        <v>0</v>
      </c>
      <c r="X52" s="21" t="n">
        <f aca="false">IF(W52&gt;0,N(INDEX('In gebruik'!$T:$T,ROW()+(-3))),0)</f>
        <v>0</v>
      </c>
      <c r="Y52" s="24" t="n">
        <f aca="false">IF(W52&gt;0,IF(N(INDEX('In gebruik'!$P:$P,ROW()+(-3)))&gt;0,N(INDEX('In gebruik'!$P:$P,ROW()+(-3))),p_Lease),0)</f>
        <v>0</v>
      </c>
      <c r="AA52" s="23" t="n">
        <f aca="false">IF($Q52+$W52=0,0,IF(AA$7=$I52,$K52+$L52+$M52+$P52,0)+IF(AA$7=$O52,$N52,0)+IF(AA$7=$X52,$W52,0))</f>
        <v>0</v>
      </c>
      <c r="AB52" s="23" t="n">
        <f aca="false">IF($Q52+$W52=0,0,IF(AB$7=$I52,$K52+$L52+$M52+$P52,0)+IF(AB$7=$O52,$N52,0)+IF(AB$7=$X52,$W52,0))</f>
        <v>0</v>
      </c>
      <c r="AC52" s="23" t="n">
        <f aca="false">IF($Q52+$W52=0,0,IF(AC$7=$I52,$K52+$L52+$M52+$P52,0)+IF(AC$7=$O52,$N52,0)+IF(AC$7=$X52,$W52,0))</f>
        <v>0</v>
      </c>
      <c r="AD52" s="23" t="n">
        <f aca="false">IF($Q52+$W52=0,0,IF(AD$7=$I52,$K52+$L52+$M52+$P52,0)+IF(AD$7=$O52,$N52,0)+IF(AD$7=$X52,$W52,0))</f>
        <v>0</v>
      </c>
      <c r="AE52" s="23" t="n">
        <f aca="false">IF($Q52+$W52=0,0,IF(AE$7=$I52,$K52+$L52+$M52+$P52,0)+IF(AE$7=$O52,$N52,0)+IF(AE$7=$X52,$W52,0))</f>
        <v>0</v>
      </c>
      <c r="AF52" s="23" t="n">
        <f aca="false">IF($Q52+$W52=0,0,IF(AF$7=$I52,$K52+$L52+$M52+$P52,0)+IF(AF$7=$O52,$N52,0)+IF(AF$7=$X52,$W52,0))</f>
        <v>0</v>
      </c>
      <c r="AG52" s="23" t="n">
        <f aca="false">IF($Q52+$W52=0,0,IF(AG$7=$I52,$K52+$L52+$M52+$P52,0)+IF(AG$7=$O52,$N52,0)+IF(AG$7=$X52,$W52,0))</f>
        <v>0</v>
      </c>
      <c r="AH52" s="23" t="n">
        <f aca="false">IF($Q52+$W52=0,0,IF(AH$7=$I52,$K52+$L52+$M52+$P52,0)+IF(AH$7=$O52,$N52,0)+IF(AH$7=$X52,$W52,0))</f>
        <v>0</v>
      </c>
      <c r="AJ52" s="23" t="n">
        <f aca="false">IF(AND($S52&gt;0,AJ$7&gt;=$T52,AJ$7&lt;$T52+$R52),$S52,0)+IF(AND($W52&gt;0,AJ$7&gt;$X52,AJ$7&lt;=$X52+p_AfschrLK),($V52+$W52)/p_AfschrLK,0)</f>
        <v>0</v>
      </c>
      <c r="AK52" s="23" t="n">
        <f aca="false">IF(AND($S52&gt;0,AK$7&gt;=$T52,AK$7&lt;$T52+$R52),$S52,0)+IF(AND($W52&gt;0,AK$7&gt;$X52,AK$7&lt;=$X52+p_AfschrLK),($V52+$W52)/p_AfschrLK,0)</f>
        <v>0</v>
      </c>
      <c r="AL52" s="23" t="n">
        <f aca="false">IF(AND($S52&gt;0,AL$7&gt;=$T52,AL$7&lt;$T52+$R52),$S52,0)+IF(AND($W52&gt;0,AL$7&gt;$X52,AL$7&lt;=$X52+p_AfschrLK),($V52+$W52)/p_AfschrLK,0)</f>
        <v>0</v>
      </c>
      <c r="AM52" s="23" t="n">
        <f aca="false">IF(AND($S52&gt;0,AM$7&gt;=$T52,AM$7&lt;$T52+$R52),$S52,0)+IF(AND($W52&gt;0,AM$7&gt;$X52,AM$7&lt;=$X52+p_AfschrLK),($V52+$W52)/p_AfschrLK,0)</f>
        <v>0</v>
      </c>
      <c r="AN52" s="23" t="n">
        <f aca="false">IF(AND($S52&gt;0,AN$7&gt;=$T52,AN$7&lt;$T52+$R52),$S52,0)+IF(AND($W52&gt;0,AN$7&gt;$X52,AN$7&lt;=$X52+p_AfschrLK),($V52+$W52)/p_AfschrLK,0)</f>
        <v>0</v>
      </c>
      <c r="AO52" s="23" t="n">
        <f aca="false">IF(AND($S52&gt;0,AO$7&gt;=$T52,AO$7&lt;$T52+$R52),$S52,0)+IF(AND($W52&gt;0,AO$7&gt;$X52,AO$7&lt;=$X52+p_AfschrLK),($V52+$W52)/p_AfschrLK,0)</f>
        <v>0</v>
      </c>
      <c r="AP52" s="23" t="n">
        <f aca="false">IF(AND($S52&gt;0,AP$7&gt;=$T52,AP$7&lt;$T52+$R52),$S52,0)+IF(AND($W52&gt;0,AP$7&gt;$X52,AP$7&lt;=$X52+p_AfschrLK),($V52+$W52)/p_AfschrLK,0)</f>
        <v>0</v>
      </c>
      <c r="AQ52" s="23" t="n">
        <f aca="false">IF(AND($S52&gt;0,AQ$7&gt;=$T52,AQ$7&lt;$T52+$R52),$S52,0)+IF(AND($W52&gt;0,AQ$7&gt;$X52,AQ$7&lt;=$X52+p_AfschrLK),($V52+$W52)/p_AfschrLK,0)</f>
        <v>0</v>
      </c>
    </row>
    <row r="53" customFormat="false" ht="15" hidden="false" customHeight="false" outlineLevel="0" collapsed="false">
      <c r="A53" s="20" t="str">
        <f aca="false">IF(INDEX('In gebruik'!$A:$A,ROW()+(-3))="","",INDEX('In gebruik'!$A:$A,ROW()+(-3)))</f>
        <v/>
      </c>
      <c r="B53" s="20" t="str">
        <f aca="false">IF($A53="","",INDEX('In gebruik'!$B:$B,ROW()+(-3))&amp;"")</f>
        <v/>
      </c>
      <c r="C53" s="20" t="str">
        <f aca="false">IF($A53="","",INDEX('In gebruik'!$H:$H,ROW()+(-3))&amp;"")</f>
        <v/>
      </c>
      <c r="D53" s="20" t="str">
        <f aca="false">IF($A53="","",INDEX('In gebruik'!$G:$G,ROW()+(-3))&amp;"")</f>
        <v/>
      </c>
      <c r="E53" s="20" t="str">
        <f aca="false">IF($A53="","",INDEX('In gebruik'!$U:$U,ROW()+(-3))&amp;"")</f>
        <v/>
      </c>
      <c r="F53" s="21" t="n">
        <f aca="false">IF($A53="",0,N(INDEX('In gebruik'!$J:$J,ROW()+(-3))))</f>
        <v>0</v>
      </c>
      <c r="G53" s="21" t="n">
        <f aca="false">IF($A53="",0,N(INDEX('In gebruik'!$K:$K,ROW()+(-3))))</f>
        <v>0</v>
      </c>
      <c r="H53" s="12" t="n">
        <f aca="false">IF(G53&gt;0,F53+G53-1,0)</f>
        <v>0</v>
      </c>
      <c r="I53" s="12" t="n">
        <f aca="false">IF($A53="",0,IF(N(INDEX('In gebruik'!$W:$W,ROW()+(-3)))&gt;0,N(INDEX('In gebruik'!$W:$W,ROW()+(-3))),IF(G53&gt;0,MAX(F53+G53,p_Start),0)))</f>
        <v>0</v>
      </c>
      <c r="J53" s="22" t="str">
        <f aca="false">IF($A53="","",IF(AND(G53&gt;0,F53+G53&lt;p_Start),"Over levensduur",IF(AND(I53&gt;0,I53&lt;=p_Start+3),"In begrotingsperiode","")))</f>
        <v/>
      </c>
      <c r="K53" s="23" t="n">
        <f aca="false">IF($E53="Lease-koop",p_Aanbet,0)</f>
        <v>0</v>
      </c>
      <c r="L53" s="23" t="n">
        <f aca="false">IF($E53="Lease-koop",p_Belet,0)</f>
        <v>0</v>
      </c>
      <c r="M53" s="23" t="n">
        <f aca="false">IF($E53="Lease-koop",p_Opbouw,0)</f>
        <v>0</v>
      </c>
      <c r="N53" s="23" t="n">
        <f aca="false">IF($E53="Lease-koop",p_Slot,0)</f>
        <v>0</v>
      </c>
      <c r="O53" s="12" t="n">
        <f aca="false">IF($E53="Lease-koop",I53+p_SlotJr,0)</f>
        <v>0</v>
      </c>
      <c r="P53" s="23" t="n">
        <f aca="false">IF($E53="Koop",N(INDEX('In gebruik'!$V:$V,ROW()+(-3))),0)</f>
        <v>0</v>
      </c>
      <c r="Q53" s="23" t="n">
        <f aca="false">K53+L53+M53+N53+P53</f>
        <v>0</v>
      </c>
      <c r="R53" s="12" t="n">
        <f aca="false">IF($E53="Lease-koop",p_AfschrLK,IF($E53="Koop",G53,0))</f>
        <v>0</v>
      </c>
      <c r="S53" s="23" t="n">
        <f aca="false">IF(R53&gt;0,Q53/R53,0)</f>
        <v>0</v>
      </c>
      <c r="T53" s="12" t="n">
        <f aca="false">IF($E53="Lease-koop",O53+1,IF($E53="Koop",I53+1,0))</f>
        <v>0</v>
      </c>
      <c r="U53" s="23" t="n">
        <f aca="false">IF($E53="Lease-koop",p_Lease,0)</f>
        <v>0</v>
      </c>
      <c r="V53" s="24" t="n">
        <f aca="false">IF($A53="",0,N(INDEX('In gebruik'!$R:$R,ROW()+(-3))))</f>
        <v>0</v>
      </c>
      <c r="W53" s="24" t="n">
        <f aca="false">IF($A53="",0,N(INDEX('In gebruik'!$S:$S,ROW()+(-3))))</f>
        <v>0</v>
      </c>
      <c r="X53" s="21" t="n">
        <f aca="false">IF(W53&gt;0,N(INDEX('In gebruik'!$T:$T,ROW()+(-3))),0)</f>
        <v>0</v>
      </c>
      <c r="Y53" s="24" t="n">
        <f aca="false">IF(W53&gt;0,IF(N(INDEX('In gebruik'!$P:$P,ROW()+(-3)))&gt;0,N(INDEX('In gebruik'!$P:$P,ROW()+(-3))),p_Lease),0)</f>
        <v>0</v>
      </c>
      <c r="AA53" s="23" t="n">
        <f aca="false">IF($Q53+$W53=0,0,IF(AA$7=$I53,$K53+$L53+$M53+$P53,0)+IF(AA$7=$O53,$N53,0)+IF(AA$7=$X53,$W53,0))</f>
        <v>0</v>
      </c>
      <c r="AB53" s="23" t="n">
        <f aca="false">IF($Q53+$W53=0,0,IF(AB$7=$I53,$K53+$L53+$M53+$P53,0)+IF(AB$7=$O53,$N53,0)+IF(AB$7=$X53,$W53,0))</f>
        <v>0</v>
      </c>
      <c r="AC53" s="23" t="n">
        <f aca="false">IF($Q53+$W53=0,0,IF(AC$7=$I53,$K53+$L53+$M53+$P53,0)+IF(AC$7=$O53,$N53,0)+IF(AC$7=$X53,$W53,0))</f>
        <v>0</v>
      </c>
      <c r="AD53" s="23" t="n">
        <f aca="false">IF($Q53+$W53=0,0,IF(AD$7=$I53,$K53+$L53+$M53+$P53,0)+IF(AD$7=$O53,$N53,0)+IF(AD$7=$X53,$W53,0))</f>
        <v>0</v>
      </c>
      <c r="AE53" s="23" t="n">
        <f aca="false">IF($Q53+$W53=0,0,IF(AE$7=$I53,$K53+$L53+$M53+$P53,0)+IF(AE$7=$O53,$N53,0)+IF(AE$7=$X53,$W53,0))</f>
        <v>0</v>
      </c>
      <c r="AF53" s="23" t="n">
        <f aca="false">IF($Q53+$W53=0,0,IF(AF$7=$I53,$K53+$L53+$M53+$P53,0)+IF(AF$7=$O53,$N53,0)+IF(AF$7=$X53,$W53,0))</f>
        <v>0</v>
      </c>
      <c r="AG53" s="23" t="n">
        <f aca="false">IF($Q53+$W53=0,0,IF(AG$7=$I53,$K53+$L53+$M53+$P53,0)+IF(AG$7=$O53,$N53,0)+IF(AG$7=$X53,$W53,0))</f>
        <v>0</v>
      </c>
      <c r="AH53" s="23" t="n">
        <f aca="false">IF($Q53+$W53=0,0,IF(AH$7=$I53,$K53+$L53+$M53+$P53,0)+IF(AH$7=$O53,$N53,0)+IF(AH$7=$X53,$W53,0))</f>
        <v>0</v>
      </c>
      <c r="AJ53" s="23" t="n">
        <f aca="false">IF(AND($S53&gt;0,AJ$7&gt;=$T53,AJ$7&lt;$T53+$R53),$S53,0)+IF(AND($W53&gt;0,AJ$7&gt;$X53,AJ$7&lt;=$X53+p_AfschrLK),($V53+$W53)/p_AfschrLK,0)</f>
        <v>0</v>
      </c>
      <c r="AK53" s="23" t="n">
        <f aca="false">IF(AND($S53&gt;0,AK$7&gt;=$T53,AK$7&lt;$T53+$R53),$S53,0)+IF(AND($W53&gt;0,AK$7&gt;$X53,AK$7&lt;=$X53+p_AfschrLK),($V53+$W53)/p_AfschrLK,0)</f>
        <v>0</v>
      </c>
      <c r="AL53" s="23" t="n">
        <f aca="false">IF(AND($S53&gt;0,AL$7&gt;=$T53,AL$7&lt;$T53+$R53),$S53,0)+IF(AND($W53&gt;0,AL$7&gt;$X53,AL$7&lt;=$X53+p_AfschrLK),($V53+$W53)/p_AfschrLK,0)</f>
        <v>0</v>
      </c>
      <c r="AM53" s="23" t="n">
        <f aca="false">IF(AND($S53&gt;0,AM$7&gt;=$T53,AM$7&lt;$T53+$R53),$S53,0)+IF(AND($W53&gt;0,AM$7&gt;$X53,AM$7&lt;=$X53+p_AfschrLK),($V53+$W53)/p_AfschrLK,0)</f>
        <v>0</v>
      </c>
      <c r="AN53" s="23" t="n">
        <f aca="false">IF(AND($S53&gt;0,AN$7&gt;=$T53,AN$7&lt;$T53+$R53),$S53,0)+IF(AND($W53&gt;0,AN$7&gt;$X53,AN$7&lt;=$X53+p_AfschrLK),($V53+$W53)/p_AfschrLK,0)</f>
        <v>0</v>
      </c>
      <c r="AO53" s="23" t="n">
        <f aca="false">IF(AND($S53&gt;0,AO$7&gt;=$T53,AO$7&lt;$T53+$R53),$S53,0)+IF(AND($W53&gt;0,AO$7&gt;$X53,AO$7&lt;=$X53+p_AfschrLK),($V53+$W53)/p_AfschrLK,0)</f>
        <v>0</v>
      </c>
      <c r="AP53" s="23" t="n">
        <f aca="false">IF(AND($S53&gt;0,AP$7&gt;=$T53,AP$7&lt;$T53+$R53),$S53,0)+IF(AND($W53&gt;0,AP$7&gt;$X53,AP$7&lt;=$X53+p_AfschrLK),($V53+$W53)/p_AfschrLK,0)</f>
        <v>0</v>
      </c>
      <c r="AQ53" s="23" t="n">
        <f aca="false">IF(AND($S53&gt;0,AQ$7&gt;=$T53,AQ$7&lt;$T53+$R53),$S53,0)+IF(AND($W53&gt;0,AQ$7&gt;$X53,AQ$7&lt;=$X53+p_AfschrLK),($V53+$W53)/p_AfschrLK,0)</f>
        <v>0</v>
      </c>
    </row>
    <row r="54" customFormat="false" ht="15" hidden="false" customHeight="false" outlineLevel="0" collapsed="false">
      <c r="A54" s="20" t="str">
        <f aca="false">IF(INDEX('In gebruik'!$A:$A,ROW()+(-3))="","",INDEX('In gebruik'!$A:$A,ROW()+(-3)))</f>
        <v/>
      </c>
      <c r="B54" s="20" t="str">
        <f aca="false">IF($A54="","",INDEX('In gebruik'!$B:$B,ROW()+(-3))&amp;"")</f>
        <v/>
      </c>
      <c r="C54" s="20" t="str">
        <f aca="false">IF($A54="","",INDEX('In gebruik'!$H:$H,ROW()+(-3))&amp;"")</f>
        <v/>
      </c>
      <c r="D54" s="20" t="str">
        <f aca="false">IF($A54="","",INDEX('In gebruik'!$G:$G,ROW()+(-3))&amp;"")</f>
        <v/>
      </c>
      <c r="E54" s="20" t="str">
        <f aca="false">IF($A54="","",INDEX('In gebruik'!$U:$U,ROW()+(-3))&amp;"")</f>
        <v/>
      </c>
      <c r="F54" s="21" t="n">
        <f aca="false">IF($A54="",0,N(INDEX('In gebruik'!$J:$J,ROW()+(-3))))</f>
        <v>0</v>
      </c>
      <c r="G54" s="21" t="n">
        <f aca="false">IF($A54="",0,N(INDEX('In gebruik'!$K:$K,ROW()+(-3))))</f>
        <v>0</v>
      </c>
      <c r="H54" s="12" t="n">
        <f aca="false">IF(G54&gt;0,F54+G54-1,0)</f>
        <v>0</v>
      </c>
      <c r="I54" s="12" t="n">
        <f aca="false">IF($A54="",0,IF(N(INDEX('In gebruik'!$W:$W,ROW()+(-3)))&gt;0,N(INDEX('In gebruik'!$W:$W,ROW()+(-3))),IF(G54&gt;0,MAX(F54+G54,p_Start),0)))</f>
        <v>0</v>
      </c>
      <c r="J54" s="22" t="str">
        <f aca="false">IF($A54="","",IF(AND(G54&gt;0,F54+G54&lt;p_Start),"Over levensduur",IF(AND(I54&gt;0,I54&lt;=p_Start+3),"In begrotingsperiode","")))</f>
        <v/>
      </c>
      <c r="K54" s="23" t="n">
        <f aca="false">IF($E54="Lease-koop",p_Aanbet,0)</f>
        <v>0</v>
      </c>
      <c r="L54" s="23" t="n">
        <f aca="false">IF($E54="Lease-koop",p_Belet,0)</f>
        <v>0</v>
      </c>
      <c r="M54" s="23" t="n">
        <f aca="false">IF($E54="Lease-koop",p_Opbouw,0)</f>
        <v>0</v>
      </c>
      <c r="N54" s="23" t="n">
        <f aca="false">IF($E54="Lease-koop",p_Slot,0)</f>
        <v>0</v>
      </c>
      <c r="O54" s="12" t="n">
        <f aca="false">IF($E54="Lease-koop",I54+p_SlotJr,0)</f>
        <v>0</v>
      </c>
      <c r="P54" s="23" t="n">
        <f aca="false">IF($E54="Koop",N(INDEX('In gebruik'!$V:$V,ROW()+(-3))),0)</f>
        <v>0</v>
      </c>
      <c r="Q54" s="23" t="n">
        <f aca="false">K54+L54+M54+N54+P54</f>
        <v>0</v>
      </c>
      <c r="R54" s="12" t="n">
        <f aca="false">IF($E54="Lease-koop",p_AfschrLK,IF($E54="Koop",G54,0))</f>
        <v>0</v>
      </c>
      <c r="S54" s="23" t="n">
        <f aca="false">IF(R54&gt;0,Q54/R54,0)</f>
        <v>0</v>
      </c>
      <c r="T54" s="12" t="n">
        <f aca="false">IF($E54="Lease-koop",O54+1,IF($E54="Koop",I54+1,0))</f>
        <v>0</v>
      </c>
      <c r="U54" s="23" t="n">
        <f aca="false">IF($E54="Lease-koop",p_Lease,0)</f>
        <v>0</v>
      </c>
      <c r="V54" s="24" t="n">
        <f aca="false">IF($A54="",0,N(INDEX('In gebruik'!$R:$R,ROW()+(-3))))</f>
        <v>0</v>
      </c>
      <c r="W54" s="24" t="n">
        <f aca="false">IF($A54="",0,N(INDEX('In gebruik'!$S:$S,ROW()+(-3))))</f>
        <v>0</v>
      </c>
      <c r="X54" s="21" t="n">
        <f aca="false">IF(W54&gt;0,N(INDEX('In gebruik'!$T:$T,ROW()+(-3))),0)</f>
        <v>0</v>
      </c>
      <c r="Y54" s="24" t="n">
        <f aca="false">IF(W54&gt;0,IF(N(INDEX('In gebruik'!$P:$P,ROW()+(-3)))&gt;0,N(INDEX('In gebruik'!$P:$P,ROW()+(-3))),p_Lease),0)</f>
        <v>0</v>
      </c>
      <c r="AA54" s="23" t="n">
        <f aca="false">IF($Q54+$W54=0,0,IF(AA$7=$I54,$K54+$L54+$M54+$P54,0)+IF(AA$7=$O54,$N54,0)+IF(AA$7=$X54,$W54,0))</f>
        <v>0</v>
      </c>
      <c r="AB54" s="23" t="n">
        <f aca="false">IF($Q54+$W54=0,0,IF(AB$7=$I54,$K54+$L54+$M54+$P54,0)+IF(AB$7=$O54,$N54,0)+IF(AB$7=$X54,$W54,0))</f>
        <v>0</v>
      </c>
      <c r="AC54" s="23" t="n">
        <f aca="false">IF($Q54+$W54=0,0,IF(AC$7=$I54,$K54+$L54+$M54+$P54,0)+IF(AC$7=$O54,$N54,0)+IF(AC$7=$X54,$W54,0))</f>
        <v>0</v>
      </c>
      <c r="AD54" s="23" t="n">
        <f aca="false">IF($Q54+$W54=0,0,IF(AD$7=$I54,$K54+$L54+$M54+$P54,0)+IF(AD$7=$O54,$N54,0)+IF(AD$7=$X54,$W54,0))</f>
        <v>0</v>
      </c>
      <c r="AE54" s="23" t="n">
        <f aca="false">IF($Q54+$W54=0,0,IF(AE$7=$I54,$K54+$L54+$M54+$P54,0)+IF(AE$7=$O54,$N54,0)+IF(AE$7=$X54,$W54,0))</f>
        <v>0</v>
      </c>
      <c r="AF54" s="23" t="n">
        <f aca="false">IF($Q54+$W54=0,0,IF(AF$7=$I54,$K54+$L54+$M54+$P54,0)+IF(AF$7=$O54,$N54,0)+IF(AF$7=$X54,$W54,0))</f>
        <v>0</v>
      </c>
      <c r="AG54" s="23" t="n">
        <f aca="false">IF($Q54+$W54=0,0,IF(AG$7=$I54,$K54+$L54+$M54+$P54,0)+IF(AG$7=$O54,$N54,0)+IF(AG$7=$X54,$W54,0))</f>
        <v>0</v>
      </c>
      <c r="AH54" s="23" t="n">
        <f aca="false">IF($Q54+$W54=0,0,IF(AH$7=$I54,$K54+$L54+$M54+$P54,0)+IF(AH$7=$O54,$N54,0)+IF(AH$7=$X54,$W54,0))</f>
        <v>0</v>
      </c>
      <c r="AJ54" s="23" t="n">
        <f aca="false">IF(AND($S54&gt;0,AJ$7&gt;=$T54,AJ$7&lt;$T54+$R54),$S54,0)+IF(AND($W54&gt;0,AJ$7&gt;$X54,AJ$7&lt;=$X54+p_AfschrLK),($V54+$W54)/p_AfschrLK,0)</f>
        <v>0</v>
      </c>
      <c r="AK54" s="23" t="n">
        <f aca="false">IF(AND($S54&gt;0,AK$7&gt;=$T54,AK$7&lt;$T54+$R54),$S54,0)+IF(AND($W54&gt;0,AK$7&gt;$X54,AK$7&lt;=$X54+p_AfschrLK),($V54+$W54)/p_AfschrLK,0)</f>
        <v>0</v>
      </c>
      <c r="AL54" s="23" t="n">
        <f aca="false">IF(AND($S54&gt;0,AL$7&gt;=$T54,AL$7&lt;$T54+$R54),$S54,0)+IF(AND($W54&gt;0,AL$7&gt;$X54,AL$7&lt;=$X54+p_AfschrLK),($V54+$W54)/p_AfschrLK,0)</f>
        <v>0</v>
      </c>
      <c r="AM54" s="23" t="n">
        <f aca="false">IF(AND($S54&gt;0,AM$7&gt;=$T54,AM$7&lt;$T54+$R54),$S54,0)+IF(AND($W54&gt;0,AM$7&gt;$X54,AM$7&lt;=$X54+p_AfschrLK),($V54+$W54)/p_AfschrLK,0)</f>
        <v>0</v>
      </c>
      <c r="AN54" s="23" t="n">
        <f aca="false">IF(AND($S54&gt;0,AN$7&gt;=$T54,AN$7&lt;$T54+$R54),$S54,0)+IF(AND($W54&gt;0,AN$7&gt;$X54,AN$7&lt;=$X54+p_AfschrLK),($V54+$W54)/p_AfschrLK,0)</f>
        <v>0</v>
      </c>
      <c r="AO54" s="23" t="n">
        <f aca="false">IF(AND($S54&gt;0,AO$7&gt;=$T54,AO$7&lt;$T54+$R54),$S54,0)+IF(AND($W54&gt;0,AO$7&gt;$X54,AO$7&lt;=$X54+p_AfschrLK),($V54+$W54)/p_AfschrLK,0)</f>
        <v>0</v>
      </c>
      <c r="AP54" s="23" t="n">
        <f aca="false">IF(AND($S54&gt;0,AP$7&gt;=$T54,AP$7&lt;$T54+$R54),$S54,0)+IF(AND($W54&gt;0,AP$7&gt;$X54,AP$7&lt;=$X54+p_AfschrLK),($V54+$W54)/p_AfschrLK,0)</f>
        <v>0</v>
      </c>
      <c r="AQ54" s="23" t="n">
        <f aca="false">IF(AND($S54&gt;0,AQ$7&gt;=$T54,AQ$7&lt;$T54+$R54),$S54,0)+IF(AND($W54&gt;0,AQ$7&gt;$X54,AQ$7&lt;=$X54+p_AfschrLK),($V54+$W54)/p_AfschrLK,0)</f>
        <v>0</v>
      </c>
    </row>
    <row r="55" customFormat="false" ht="15" hidden="false" customHeight="false" outlineLevel="0" collapsed="false">
      <c r="A55" s="20" t="str">
        <f aca="false">IF(INDEX('In gebruik'!$A:$A,ROW()+(-3))="","",INDEX('In gebruik'!$A:$A,ROW()+(-3)))</f>
        <v/>
      </c>
      <c r="B55" s="20" t="str">
        <f aca="false">IF($A55="","",INDEX('In gebruik'!$B:$B,ROW()+(-3))&amp;"")</f>
        <v/>
      </c>
      <c r="C55" s="20" t="str">
        <f aca="false">IF($A55="","",INDEX('In gebruik'!$H:$H,ROW()+(-3))&amp;"")</f>
        <v/>
      </c>
      <c r="D55" s="20" t="str">
        <f aca="false">IF($A55="","",INDEX('In gebruik'!$G:$G,ROW()+(-3))&amp;"")</f>
        <v/>
      </c>
      <c r="E55" s="20" t="str">
        <f aca="false">IF($A55="","",INDEX('In gebruik'!$U:$U,ROW()+(-3))&amp;"")</f>
        <v/>
      </c>
      <c r="F55" s="21" t="n">
        <f aca="false">IF($A55="",0,N(INDEX('In gebruik'!$J:$J,ROW()+(-3))))</f>
        <v>0</v>
      </c>
      <c r="G55" s="21" t="n">
        <f aca="false">IF($A55="",0,N(INDEX('In gebruik'!$K:$K,ROW()+(-3))))</f>
        <v>0</v>
      </c>
      <c r="H55" s="12" t="n">
        <f aca="false">IF(G55&gt;0,F55+G55-1,0)</f>
        <v>0</v>
      </c>
      <c r="I55" s="12" t="n">
        <f aca="false">IF($A55="",0,IF(N(INDEX('In gebruik'!$W:$W,ROW()+(-3)))&gt;0,N(INDEX('In gebruik'!$W:$W,ROW()+(-3))),IF(G55&gt;0,MAX(F55+G55,p_Start),0)))</f>
        <v>0</v>
      </c>
      <c r="J55" s="22" t="str">
        <f aca="false">IF($A55="","",IF(AND(G55&gt;0,F55+G55&lt;p_Start),"Over levensduur",IF(AND(I55&gt;0,I55&lt;=p_Start+3),"In begrotingsperiode","")))</f>
        <v/>
      </c>
      <c r="K55" s="23" t="n">
        <f aca="false">IF($E55="Lease-koop",p_Aanbet,0)</f>
        <v>0</v>
      </c>
      <c r="L55" s="23" t="n">
        <f aca="false">IF($E55="Lease-koop",p_Belet,0)</f>
        <v>0</v>
      </c>
      <c r="M55" s="23" t="n">
        <f aca="false">IF($E55="Lease-koop",p_Opbouw,0)</f>
        <v>0</v>
      </c>
      <c r="N55" s="23" t="n">
        <f aca="false">IF($E55="Lease-koop",p_Slot,0)</f>
        <v>0</v>
      </c>
      <c r="O55" s="12" t="n">
        <f aca="false">IF($E55="Lease-koop",I55+p_SlotJr,0)</f>
        <v>0</v>
      </c>
      <c r="P55" s="23" t="n">
        <f aca="false">IF($E55="Koop",N(INDEX('In gebruik'!$V:$V,ROW()+(-3))),0)</f>
        <v>0</v>
      </c>
      <c r="Q55" s="23" t="n">
        <f aca="false">K55+L55+M55+N55+P55</f>
        <v>0</v>
      </c>
      <c r="R55" s="12" t="n">
        <f aca="false">IF($E55="Lease-koop",p_AfschrLK,IF($E55="Koop",G55,0))</f>
        <v>0</v>
      </c>
      <c r="S55" s="23" t="n">
        <f aca="false">IF(R55&gt;0,Q55/R55,0)</f>
        <v>0</v>
      </c>
      <c r="T55" s="12" t="n">
        <f aca="false">IF($E55="Lease-koop",O55+1,IF($E55="Koop",I55+1,0))</f>
        <v>0</v>
      </c>
      <c r="U55" s="23" t="n">
        <f aca="false">IF($E55="Lease-koop",p_Lease,0)</f>
        <v>0</v>
      </c>
      <c r="V55" s="24" t="n">
        <f aca="false">IF($A55="",0,N(INDEX('In gebruik'!$R:$R,ROW()+(-3))))</f>
        <v>0</v>
      </c>
      <c r="W55" s="24" t="n">
        <f aca="false">IF($A55="",0,N(INDEX('In gebruik'!$S:$S,ROW()+(-3))))</f>
        <v>0</v>
      </c>
      <c r="X55" s="21" t="n">
        <f aca="false">IF(W55&gt;0,N(INDEX('In gebruik'!$T:$T,ROW()+(-3))),0)</f>
        <v>0</v>
      </c>
      <c r="Y55" s="24" t="n">
        <f aca="false">IF(W55&gt;0,IF(N(INDEX('In gebruik'!$P:$P,ROW()+(-3)))&gt;0,N(INDEX('In gebruik'!$P:$P,ROW()+(-3))),p_Lease),0)</f>
        <v>0</v>
      </c>
      <c r="AA55" s="23" t="n">
        <f aca="false">IF($Q55+$W55=0,0,IF(AA$7=$I55,$K55+$L55+$M55+$P55,0)+IF(AA$7=$O55,$N55,0)+IF(AA$7=$X55,$W55,0))</f>
        <v>0</v>
      </c>
      <c r="AB55" s="23" t="n">
        <f aca="false">IF($Q55+$W55=0,0,IF(AB$7=$I55,$K55+$L55+$M55+$P55,0)+IF(AB$7=$O55,$N55,0)+IF(AB$7=$X55,$W55,0))</f>
        <v>0</v>
      </c>
      <c r="AC55" s="23" t="n">
        <f aca="false">IF($Q55+$W55=0,0,IF(AC$7=$I55,$K55+$L55+$M55+$P55,0)+IF(AC$7=$O55,$N55,0)+IF(AC$7=$X55,$W55,0))</f>
        <v>0</v>
      </c>
      <c r="AD55" s="23" t="n">
        <f aca="false">IF($Q55+$W55=0,0,IF(AD$7=$I55,$K55+$L55+$M55+$P55,0)+IF(AD$7=$O55,$N55,0)+IF(AD$7=$X55,$W55,0))</f>
        <v>0</v>
      </c>
      <c r="AE55" s="23" t="n">
        <f aca="false">IF($Q55+$W55=0,0,IF(AE$7=$I55,$K55+$L55+$M55+$P55,0)+IF(AE$7=$O55,$N55,0)+IF(AE$7=$X55,$W55,0))</f>
        <v>0</v>
      </c>
      <c r="AF55" s="23" t="n">
        <f aca="false">IF($Q55+$W55=0,0,IF(AF$7=$I55,$K55+$L55+$M55+$P55,0)+IF(AF$7=$O55,$N55,0)+IF(AF$7=$X55,$W55,0))</f>
        <v>0</v>
      </c>
      <c r="AG55" s="23" t="n">
        <f aca="false">IF($Q55+$W55=0,0,IF(AG$7=$I55,$K55+$L55+$M55+$P55,0)+IF(AG$7=$O55,$N55,0)+IF(AG$7=$X55,$W55,0))</f>
        <v>0</v>
      </c>
      <c r="AH55" s="23" t="n">
        <f aca="false">IF($Q55+$W55=0,0,IF(AH$7=$I55,$K55+$L55+$M55+$P55,0)+IF(AH$7=$O55,$N55,0)+IF(AH$7=$X55,$W55,0))</f>
        <v>0</v>
      </c>
      <c r="AJ55" s="23" t="n">
        <f aca="false">IF(AND($S55&gt;0,AJ$7&gt;=$T55,AJ$7&lt;$T55+$R55),$S55,0)+IF(AND($W55&gt;0,AJ$7&gt;$X55,AJ$7&lt;=$X55+p_AfschrLK),($V55+$W55)/p_AfschrLK,0)</f>
        <v>0</v>
      </c>
      <c r="AK55" s="23" t="n">
        <f aca="false">IF(AND($S55&gt;0,AK$7&gt;=$T55,AK$7&lt;$T55+$R55),$S55,0)+IF(AND($W55&gt;0,AK$7&gt;$X55,AK$7&lt;=$X55+p_AfschrLK),($V55+$W55)/p_AfschrLK,0)</f>
        <v>0</v>
      </c>
      <c r="AL55" s="23" t="n">
        <f aca="false">IF(AND($S55&gt;0,AL$7&gt;=$T55,AL$7&lt;$T55+$R55),$S55,0)+IF(AND($W55&gt;0,AL$7&gt;$X55,AL$7&lt;=$X55+p_AfschrLK),($V55+$W55)/p_AfschrLK,0)</f>
        <v>0</v>
      </c>
      <c r="AM55" s="23" t="n">
        <f aca="false">IF(AND($S55&gt;0,AM$7&gt;=$T55,AM$7&lt;$T55+$R55),$S55,0)+IF(AND($W55&gt;0,AM$7&gt;$X55,AM$7&lt;=$X55+p_AfschrLK),($V55+$W55)/p_AfschrLK,0)</f>
        <v>0</v>
      </c>
      <c r="AN55" s="23" t="n">
        <f aca="false">IF(AND($S55&gt;0,AN$7&gt;=$T55,AN$7&lt;$T55+$R55),$S55,0)+IF(AND($W55&gt;0,AN$7&gt;$X55,AN$7&lt;=$X55+p_AfschrLK),($V55+$W55)/p_AfschrLK,0)</f>
        <v>0</v>
      </c>
      <c r="AO55" s="23" t="n">
        <f aca="false">IF(AND($S55&gt;0,AO$7&gt;=$T55,AO$7&lt;$T55+$R55),$S55,0)+IF(AND($W55&gt;0,AO$7&gt;$X55,AO$7&lt;=$X55+p_AfschrLK),($V55+$W55)/p_AfschrLK,0)</f>
        <v>0</v>
      </c>
      <c r="AP55" s="23" t="n">
        <f aca="false">IF(AND($S55&gt;0,AP$7&gt;=$T55,AP$7&lt;$T55+$R55),$S55,0)+IF(AND($W55&gt;0,AP$7&gt;$X55,AP$7&lt;=$X55+p_AfschrLK),($V55+$W55)/p_AfschrLK,0)</f>
        <v>0</v>
      </c>
      <c r="AQ55" s="23" t="n">
        <f aca="false">IF(AND($S55&gt;0,AQ$7&gt;=$T55,AQ$7&lt;$T55+$R55),$S55,0)+IF(AND($W55&gt;0,AQ$7&gt;$X55,AQ$7&lt;=$X55+p_AfschrLK),($V55+$W55)/p_AfschrLK,0)</f>
        <v>0</v>
      </c>
    </row>
    <row r="56" customFormat="false" ht="15" hidden="false" customHeight="false" outlineLevel="0" collapsed="false">
      <c r="A56" s="20" t="str">
        <f aca="false">IF(INDEX('In gebruik'!$A:$A,ROW()+(-3))="","",INDEX('In gebruik'!$A:$A,ROW()+(-3)))</f>
        <v/>
      </c>
      <c r="B56" s="20" t="str">
        <f aca="false">IF($A56="","",INDEX('In gebruik'!$B:$B,ROW()+(-3))&amp;"")</f>
        <v/>
      </c>
      <c r="C56" s="20" t="str">
        <f aca="false">IF($A56="","",INDEX('In gebruik'!$H:$H,ROW()+(-3))&amp;"")</f>
        <v/>
      </c>
      <c r="D56" s="20" t="str">
        <f aca="false">IF($A56="","",INDEX('In gebruik'!$G:$G,ROW()+(-3))&amp;"")</f>
        <v/>
      </c>
      <c r="E56" s="20" t="str">
        <f aca="false">IF($A56="","",INDEX('In gebruik'!$U:$U,ROW()+(-3))&amp;"")</f>
        <v/>
      </c>
      <c r="F56" s="21" t="n">
        <f aca="false">IF($A56="",0,N(INDEX('In gebruik'!$J:$J,ROW()+(-3))))</f>
        <v>0</v>
      </c>
      <c r="G56" s="21" t="n">
        <f aca="false">IF($A56="",0,N(INDEX('In gebruik'!$K:$K,ROW()+(-3))))</f>
        <v>0</v>
      </c>
      <c r="H56" s="12" t="n">
        <f aca="false">IF(G56&gt;0,F56+G56-1,0)</f>
        <v>0</v>
      </c>
      <c r="I56" s="12" t="n">
        <f aca="false">IF($A56="",0,IF(N(INDEX('In gebruik'!$W:$W,ROW()+(-3)))&gt;0,N(INDEX('In gebruik'!$W:$W,ROW()+(-3))),IF(G56&gt;0,MAX(F56+G56,p_Start),0)))</f>
        <v>0</v>
      </c>
      <c r="J56" s="22" t="str">
        <f aca="false">IF($A56="","",IF(AND(G56&gt;0,F56+G56&lt;p_Start),"Over levensduur",IF(AND(I56&gt;0,I56&lt;=p_Start+3),"In begrotingsperiode","")))</f>
        <v/>
      </c>
      <c r="K56" s="23" t="n">
        <f aca="false">IF($E56="Lease-koop",p_Aanbet,0)</f>
        <v>0</v>
      </c>
      <c r="L56" s="23" t="n">
        <f aca="false">IF($E56="Lease-koop",p_Belet,0)</f>
        <v>0</v>
      </c>
      <c r="M56" s="23" t="n">
        <f aca="false">IF($E56="Lease-koop",p_Opbouw,0)</f>
        <v>0</v>
      </c>
      <c r="N56" s="23" t="n">
        <f aca="false">IF($E56="Lease-koop",p_Slot,0)</f>
        <v>0</v>
      </c>
      <c r="O56" s="12" t="n">
        <f aca="false">IF($E56="Lease-koop",I56+p_SlotJr,0)</f>
        <v>0</v>
      </c>
      <c r="P56" s="23" t="n">
        <f aca="false">IF($E56="Koop",N(INDEX('In gebruik'!$V:$V,ROW()+(-3))),0)</f>
        <v>0</v>
      </c>
      <c r="Q56" s="23" t="n">
        <f aca="false">K56+L56+M56+N56+P56</f>
        <v>0</v>
      </c>
      <c r="R56" s="12" t="n">
        <f aca="false">IF($E56="Lease-koop",p_AfschrLK,IF($E56="Koop",G56,0))</f>
        <v>0</v>
      </c>
      <c r="S56" s="23" t="n">
        <f aca="false">IF(R56&gt;0,Q56/R56,0)</f>
        <v>0</v>
      </c>
      <c r="T56" s="12" t="n">
        <f aca="false">IF($E56="Lease-koop",O56+1,IF($E56="Koop",I56+1,0))</f>
        <v>0</v>
      </c>
      <c r="U56" s="23" t="n">
        <f aca="false">IF($E56="Lease-koop",p_Lease,0)</f>
        <v>0</v>
      </c>
      <c r="V56" s="24" t="n">
        <f aca="false">IF($A56="",0,N(INDEX('In gebruik'!$R:$R,ROW()+(-3))))</f>
        <v>0</v>
      </c>
      <c r="W56" s="24" t="n">
        <f aca="false">IF($A56="",0,N(INDEX('In gebruik'!$S:$S,ROW()+(-3))))</f>
        <v>0</v>
      </c>
      <c r="X56" s="21" t="n">
        <f aca="false">IF(W56&gt;0,N(INDEX('In gebruik'!$T:$T,ROW()+(-3))),0)</f>
        <v>0</v>
      </c>
      <c r="Y56" s="24" t="n">
        <f aca="false">IF(W56&gt;0,IF(N(INDEX('In gebruik'!$P:$P,ROW()+(-3)))&gt;0,N(INDEX('In gebruik'!$P:$P,ROW()+(-3))),p_Lease),0)</f>
        <v>0</v>
      </c>
      <c r="AA56" s="23" t="n">
        <f aca="false">IF($Q56+$W56=0,0,IF(AA$7=$I56,$K56+$L56+$M56+$P56,0)+IF(AA$7=$O56,$N56,0)+IF(AA$7=$X56,$W56,0))</f>
        <v>0</v>
      </c>
      <c r="AB56" s="23" t="n">
        <f aca="false">IF($Q56+$W56=0,0,IF(AB$7=$I56,$K56+$L56+$M56+$P56,0)+IF(AB$7=$O56,$N56,0)+IF(AB$7=$X56,$W56,0))</f>
        <v>0</v>
      </c>
      <c r="AC56" s="23" t="n">
        <f aca="false">IF($Q56+$W56=0,0,IF(AC$7=$I56,$K56+$L56+$M56+$P56,0)+IF(AC$7=$O56,$N56,0)+IF(AC$7=$X56,$W56,0))</f>
        <v>0</v>
      </c>
      <c r="AD56" s="23" t="n">
        <f aca="false">IF($Q56+$W56=0,0,IF(AD$7=$I56,$K56+$L56+$M56+$P56,0)+IF(AD$7=$O56,$N56,0)+IF(AD$7=$X56,$W56,0))</f>
        <v>0</v>
      </c>
      <c r="AE56" s="23" t="n">
        <f aca="false">IF($Q56+$W56=0,0,IF(AE$7=$I56,$K56+$L56+$M56+$P56,0)+IF(AE$7=$O56,$N56,0)+IF(AE$7=$X56,$W56,0))</f>
        <v>0</v>
      </c>
      <c r="AF56" s="23" t="n">
        <f aca="false">IF($Q56+$W56=0,0,IF(AF$7=$I56,$K56+$L56+$M56+$P56,0)+IF(AF$7=$O56,$N56,0)+IF(AF$7=$X56,$W56,0))</f>
        <v>0</v>
      </c>
      <c r="AG56" s="23" t="n">
        <f aca="false">IF($Q56+$W56=0,0,IF(AG$7=$I56,$K56+$L56+$M56+$P56,0)+IF(AG$7=$O56,$N56,0)+IF(AG$7=$X56,$W56,0))</f>
        <v>0</v>
      </c>
      <c r="AH56" s="23" t="n">
        <f aca="false">IF($Q56+$W56=0,0,IF(AH$7=$I56,$K56+$L56+$M56+$P56,0)+IF(AH$7=$O56,$N56,0)+IF(AH$7=$X56,$W56,0))</f>
        <v>0</v>
      </c>
      <c r="AJ56" s="23" t="n">
        <f aca="false">IF(AND($S56&gt;0,AJ$7&gt;=$T56,AJ$7&lt;$T56+$R56),$S56,0)+IF(AND($W56&gt;0,AJ$7&gt;$X56,AJ$7&lt;=$X56+p_AfschrLK),($V56+$W56)/p_AfschrLK,0)</f>
        <v>0</v>
      </c>
      <c r="AK56" s="23" t="n">
        <f aca="false">IF(AND($S56&gt;0,AK$7&gt;=$T56,AK$7&lt;$T56+$R56),$S56,0)+IF(AND($W56&gt;0,AK$7&gt;$X56,AK$7&lt;=$X56+p_AfschrLK),($V56+$W56)/p_AfschrLK,0)</f>
        <v>0</v>
      </c>
      <c r="AL56" s="23" t="n">
        <f aca="false">IF(AND($S56&gt;0,AL$7&gt;=$T56,AL$7&lt;$T56+$R56),$S56,0)+IF(AND($W56&gt;0,AL$7&gt;$X56,AL$7&lt;=$X56+p_AfschrLK),($V56+$W56)/p_AfschrLK,0)</f>
        <v>0</v>
      </c>
      <c r="AM56" s="23" t="n">
        <f aca="false">IF(AND($S56&gt;0,AM$7&gt;=$T56,AM$7&lt;$T56+$R56),$S56,0)+IF(AND($W56&gt;0,AM$7&gt;$X56,AM$7&lt;=$X56+p_AfschrLK),($V56+$W56)/p_AfschrLK,0)</f>
        <v>0</v>
      </c>
      <c r="AN56" s="23" t="n">
        <f aca="false">IF(AND($S56&gt;0,AN$7&gt;=$T56,AN$7&lt;$T56+$R56),$S56,0)+IF(AND($W56&gt;0,AN$7&gt;$X56,AN$7&lt;=$X56+p_AfschrLK),($V56+$W56)/p_AfschrLK,0)</f>
        <v>0</v>
      </c>
      <c r="AO56" s="23" t="n">
        <f aca="false">IF(AND($S56&gt;0,AO$7&gt;=$T56,AO$7&lt;$T56+$R56),$S56,0)+IF(AND($W56&gt;0,AO$7&gt;$X56,AO$7&lt;=$X56+p_AfschrLK),($V56+$W56)/p_AfschrLK,0)</f>
        <v>0</v>
      </c>
      <c r="AP56" s="23" t="n">
        <f aca="false">IF(AND($S56&gt;0,AP$7&gt;=$T56,AP$7&lt;$T56+$R56),$S56,0)+IF(AND($W56&gt;0,AP$7&gt;$X56,AP$7&lt;=$X56+p_AfschrLK),($V56+$W56)/p_AfschrLK,0)</f>
        <v>0</v>
      </c>
      <c r="AQ56" s="23" t="n">
        <f aca="false">IF(AND($S56&gt;0,AQ$7&gt;=$T56,AQ$7&lt;$T56+$R56),$S56,0)+IF(AND($W56&gt;0,AQ$7&gt;$X56,AQ$7&lt;=$X56+p_AfschrLK),($V56+$W56)/p_AfschrLK,0)</f>
        <v>0</v>
      </c>
    </row>
    <row r="57" customFormat="false" ht="15" hidden="false" customHeight="false" outlineLevel="0" collapsed="false">
      <c r="A57" s="20" t="str">
        <f aca="false">IF(INDEX('In gebruik'!$A:$A,ROW()+(-3))="","",INDEX('In gebruik'!$A:$A,ROW()+(-3)))</f>
        <v/>
      </c>
      <c r="B57" s="20" t="str">
        <f aca="false">IF($A57="","",INDEX('In gebruik'!$B:$B,ROW()+(-3))&amp;"")</f>
        <v/>
      </c>
      <c r="C57" s="20" t="str">
        <f aca="false">IF($A57="","",INDEX('In gebruik'!$H:$H,ROW()+(-3))&amp;"")</f>
        <v/>
      </c>
      <c r="D57" s="20" t="str">
        <f aca="false">IF($A57="","",INDEX('In gebruik'!$G:$G,ROW()+(-3))&amp;"")</f>
        <v/>
      </c>
      <c r="E57" s="20" t="str">
        <f aca="false">IF($A57="","",INDEX('In gebruik'!$U:$U,ROW()+(-3))&amp;"")</f>
        <v/>
      </c>
      <c r="F57" s="21" t="n">
        <f aca="false">IF($A57="",0,N(INDEX('In gebruik'!$J:$J,ROW()+(-3))))</f>
        <v>0</v>
      </c>
      <c r="G57" s="21" t="n">
        <f aca="false">IF($A57="",0,N(INDEX('In gebruik'!$K:$K,ROW()+(-3))))</f>
        <v>0</v>
      </c>
      <c r="H57" s="12" t="n">
        <f aca="false">IF(G57&gt;0,F57+G57-1,0)</f>
        <v>0</v>
      </c>
      <c r="I57" s="12" t="n">
        <f aca="false">IF($A57="",0,IF(N(INDEX('In gebruik'!$W:$W,ROW()+(-3)))&gt;0,N(INDEX('In gebruik'!$W:$W,ROW()+(-3))),IF(G57&gt;0,MAX(F57+G57,p_Start),0)))</f>
        <v>0</v>
      </c>
      <c r="J57" s="22" t="str">
        <f aca="false">IF($A57="","",IF(AND(G57&gt;0,F57+G57&lt;p_Start),"Over levensduur",IF(AND(I57&gt;0,I57&lt;=p_Start+3),"In begrotingsperiode","")))</f>
        <v/>
      </c>
      <c r="K57" s="23" t="n">
        <f aca="false">IF($E57="Lease-koop",p_Aanbet,0)</f>
        <v>0</v>
      </c>
      <c r="L57" s="23" t="n">
        <f aca="false">IF($E57="Lease-koop",p_Belet,0)</f>
        <v>0</v>
      </c>
      <c r="M57" s="23" t="n">
        <f aca="false">IF($E57="Lease-koop",p_Opbouw,0)</f>
        <v>0</v>
      </c>
      <c r="N57" s="23" t="n">
        <f aca="false">IF($E57="Lease-koop",p_Slot,0)</f>
        <v>0</v>
      </c>
      <c r="O57" s="12" t="n">
        <f aca="false">IF($E57="Lease-koop",I57+p_SlotJr,0)</f>
        <v>0</v>
      </c>
      <c r="P57" s="23" t="n">
        <f aca="false">IF($E57="Koop",N(INDEX('In gebruik'!$V:$V,ROW()+(-3))),0)</f>
        <v>0</v>
      </c>
      <c r="Q57" s="23" t="n">
        <f aca="false">K57+L57+M57+N57+P57</f>
        <v>0</v>
      </c>
      <c r="R57" s="12" t="n">
        <f aca="false">IF($E57="Lease-koop",p_AfschrLK,IF($E57="Koop",G57,0))</f>
        <v>0</v>
      </c>
      <c r="S57" s="23" t="n">
        <f aca="false">IF(R57&gt;0,Q57/R57,0)</f>
        <v>0</v>
      </c>
      <c r="T57" s="12" t="n">
        <f aca="false">IF($E57="Lease-koop",O57+1,IF($E57="Koop",I57+1,0))</f>
        <v>0</v>
      </c>
      <c r="U57" s="23" t="n">
        <f aca="false">IF($E57="Lease-koop",p_Lease,0)</f>
        <v>0</v>
      </c>
      <c r="V57" s="24" t="n">
        <f aca="false">IF($A57="",0,N(INDEX('In gebruik'!$R:$R,ROW()+(-3))))</f>
        <v>0</v>
      </c>
      <c r="W57" s="24" t="n">
        <f aca="false">IF($A57="",0,N(INDEX('In gebruik'!$S:$S,ROW()+(-3))))</f>
        <v>0</v>
      </c>
      <c r="X57" s="21" t="n">
        <f aca="false">IF(W57&gt;0,N(INDEX('In gebruik'!$T:$T,ROW()+(-3))),0)</f>
        <v>0</v>
      </c>
      <c r="Y57" s="24" t="n">
        <f aca="false">IF(W57&gt;0,IF(N(INDEX('In gebruik'!$P:$P,ROW()+(-3)))&gt;0,N(INDEX('In gebruik'!$P:$P,ROW()+(-3))),p_Lease),0)</f>
        <v>0</v>
      </c>
      <c r="AA57" s="23" t="n">
        <f aca="false">IF($Q57+$W57=0,0,IF(AA$7=$I57,$K57+$L57+$M57+$P57,0)+IF(AA$7=$O57,$N57,0)+IF(AA$7=$X57,$W57,0))</f>
        <v>0</v>
      </c>
      <c r="AB57" s="23" t="n">
        <f aca="false">IF($Q57+$W57=0,0,IF(AB$7=$I57,$K57+$L57+$M57+$P57,0)+IF(AB$7=$O57,$N57,0)+IF(AB$7=$X57,$W57,0))</f>
        <v>0</v>
      </c>
      <c r="AC57" s="23" t="n">
        <f aca="false">IF($Q57+$W57=0,0,IF(AC$7=$I57,$K57+$L57+$M57+$P57,0)+IF(AC$7=$O57,$N57,0)+IF(AC$7=$X57,$W57,0))</f>
        <v>0</v>
      </c>
      <c r="AD57" s="23" t="n">
        <f aca="false">IF($Q57+$W57=0,0,IF(AD$7=$I57,$K57+$L57+$M57+$P57,0)+IF(AD$7=$O57,$N57,0)+IF(AD$7=$X57,$W57,0))</f>
        <v>0</v>
      </c>
      <c r="AE57" s="23" t="n">
        <f aca="false">IF($Q57+$W57=0,0,IF(AE$7=$I57,$K57+$L57+$M57+$P57,0)+IF(AE$7=$O57,$N57,0)+IF(AE$7=$X57,$W57,0))</f>
        <v>0</v>
      </c>
      <c r="AF57" s="23" t="n">
        <f aca="false">IF($Q57+$W57=0,0,IF(AF$7=$I57,$K57+$L57+$M57+$P57,0)+IF(AF$7=$O57,$N57,0)+IF(AF$7=$X57,$W57,0))</f>
        <v>0</v>
      </c>
      <c r="AG57" s="23" t="n">
        <f aca="false">IF($Q57+$W57=0,0,IF(AG$7=$I57,$K57+$L57+$M57+$P57,0)+IF(AG$7=$O57,$N57,0)+IF(AG$7=$X57,$W57,0))</f>
        <v>0</v>
      </c>
      <c r="AH57" s="23" t="n">
        <f aca="false">IF($Q57+$W57=0,0,IF(AH$7=$I57,$K57+$L57+$M57+$P57,0)+IF(AH$7=$O57,$N57,0)+IF(AH$7=$X57,$W57,0))</f>
        <v>0</v>
      </c>
      <c r="AJ57" s="23" t="n">
        <f aca="false">IF(AND($S57&gt;0,AJ$7&gt;=$T57,AJ$7&lt;$T57+$R57),$S57,0)+IF(AND($W57&gt;0,AJ$7&gt;$X57,AJ$7&lt;=$X57+p_AfschrLK),($V57+$W57)/p_AfschrLK,0)</f>
        <v>0</v>
      </c>
      <c r="AK57" s="23" t="n">
        <f aca="false">IF(AND($S57&gt;0,AK$7&gt;=$T57,AK$7&lt;$T57+$R57),$S57,0)+IF(AND($W57&gt;0,AK$7&gt;$X57,AK$7&lt;=$X57+p_AfschrLK),($V57+$W57)/p_AfschrLK,0)</f>
        <v>0</v>
      </c>
      <c r="AL57" s="23" t="n">
        <f aca="false">IF(AND($S57&gt;0,AL$7&gt;=$T57,AL$7&lt;$T57+$R57),$S57,0)+IF(AND($W57&gt;0,AL$7&gt;$X57,AL$7&lt;=$X57+p_AfschrLK),($V57+$W57)/p_AfschrLK,0)</f>
        <v>0</v>
      </c>
      <c r="AM57" s="23" t="n">
        <f aca="false">IF(AND($S57&gt;0,AM$7&gt;=$T57,AM$7&lt;$T57+$R57),$S57,0)+IF(AND($W57&gt;0,AM$7&gt;$X57,AM$7&lt;=$X57+p_AfschrLK),($V57+$W57)/p_AfschrLK,0)</f>
        <v>0</v>
      </c>
      <c r="AN57" s="23" t="n">
        <f aca="false">IF(AND($S57&gt;0,AN$7&gt;=$T57,AN$7&lt;$T57+$R57),$S57,0)+IF(AND($W57&gt;0,AN$7&gt;$X57,AN$7&lt;=$X57+p_AfschrLK),($V57+$W57)/p_AfschrLK,0)</f>
        <v>0</v>
      </c>
      <c r="AO57" s="23" t="n">
        <f aca="false">IF(AND($S57&gt;0,AO$7&gt;=$T57,AO$7&lt;$T57+$R57),$S57,0)+IF(AND($W57&gt;0,AO$7&gt;$X57,AO$7&lt;=$X57+p_AfschrLK),($V57+$W57)/p_AfschrLK,0)</f>
        <v>0</v>
      </c>
      <c r="AP57" s="23" t="n">
        <f aca="false">IF(AND($S57&gt;0,AP$7&gt;=$T57,AP$7&lt;$T57+$R57),$S57,0)+IF(AND($W57&gt;0,AP$7&gt;$X57,AP$7&lt;=$X57+p_AfschrLK),($V57+$W57)/p_AfschrLK,0)</f>
        <v>0</v>
      </c>
      <c r="AQ57" s="23" t="n">
        <f aca="false">IF(AND($S57&gt;0,AQ$7&gt;=$T57,AQ$7&lt;$T57+$R57),$S57,0)+IF(AND($W57&gt;0,AQ$7&gt;$X57,AQ$7&lt;=$X57+p_AfschrLK),($V57+$W57)/p_AfschrLK,0)</f>
        <v>0</v>
      </c>
    </row>
    <row r="58" customFormat="false" ht="15" hidden="false" customHeight="false" outlineLevel="0" collapsed="false">
      <c r="A58" s="20" t="str">
        <f aca="false">IF(INDEX('In gebruik'!$A:$A,ROW()+(-3))="","",INDEX('In gebruik'!$A:$A,ROW()+(-3)))</f>
        <v/>
      </c>
      <c r="B58" s="20" t="str">
        <f aca="false">IF($A58="","",INDEX('In gebruik'!$B:$B,ROW()+(-3))&amp;"")</f>
        <v/>
      </c>
      <c r="C58" s="20" t="str">
        <f aca="false">IF($A58="","",INDEX('In gebruik'!$H:$H,ROW()+(-3))&amp;"")</f>
        <v/>
      </c>
      <c r="D58" s="20" t="str">
        <f aca="false">IF($A58="","",INDEX('In gebruik'!$G:$G,ROW()+(-3))&amp;"")</f>
        <v/>
      </c>
      <c r="E58" s="20" t="str">
        <f aca="false">IF($A58="","",INDEX('In gebruik'!$U:$U,ROW()+(-3))&amp;"")</f>
        <v/>
      </c>
      <c r="F58" s="21" t="n">
        <f aca="false">IF($A58="",0,N(INDEX('In gebruik'!$J:$J,ROW()+(-3))))</f>
        <v>0</v>
      </c>
      <c r="G58" s="21" t="n">
        <f aca="false">IF($A58="",0,N(INDEX('In gebruik'!$K:$K,ROW()+(-3))))</f>
        <v>0</v>
      </c>
      <c r="H58" s="12" t="n">
        <f aca="false">IF(G58&gt;0,F58+G58-1,0)</f>
        <v>0</v>
      </c>
      <c r="I58" s="12" t="n">
        <f aca="false">IF($A58="",0,IF(N(INDEX('In gebruik'!$W:$W,ROW()+(-3)))&gt;0,N(INDEX('In gebruik'!$W:$W,ROW()+(-3))),IF(G58&gt;0,MAX(F58+G58,p_Start),0)))</f>
        <v>0</v>
      </c>
      <c r="J58" s="22" t="str">
        <f aca="false">IF($A58="","",IF(AND(G58&gt;0,F58+G58&lt;p_Start),"Over levensduur",IF(AND(I58&gt;0,I58&lt;=p_Start+3),"In begrotingsperiode","")))</f>
        <v/>
      </c>
      <c r="K58" s="23" t="n">
        <f aca="false">IF($E58="Lease-koop",p_Aanbet,0)</f>
        <v>0</v>
      </c>
      <c r="L58" s="23" t="n">
        <f aca="false">IF($E58="Lease-koop",p_Belet,0)</f>
        <v>0</v>
      </c>
      <c r="M58" s="23" t="n">
        <f aca="false">IF($E58="Lease-koop",p_Opbouw,0)</f>
        <v>0</v>
      </c>
      <c r="N58" s="23" t="n">
        <f aca="false">IF($E58="Lease-koop",p_Slot,0)</f>
        <v>0</v>
      </c>
      <c r="O58" s="12" t="n">
        <f aca="false">IF($E58="Lease-koop",I58+p_SlotJr,0)</f>
        <v>0</v>
      </c>
      <c r="P58" s="23" t="n">
        <f aca="false">IF($E58="Koop",N(INDEX('In gebruik'!$V:$V,ROW()+(-3))),0)</f>
        <v>0</v>
      </c>
      <c r="Q58" s="23" t="n">
        <f aca="false">K58+L58+M58+N58+P58</f>
        <v>0</v>
      </c>
      <c r="R58" s="12" t="n">
        <f aca="false">IF($E58="Lease-koop",p_AfschrLK,IF($E58="Koop",G58,0))</f>
        <v>0</v>
      </c>
      <c r="S58" s="23" t="n">
        <f aca="false">IF(R58&gt;0,Q58/R58,0)</f>
        <v>0</v>
      </c>
      <c r="T58" s="12" t="n">
        <f aca="false">IF($E58="Lease-koop",O58+1,IF($E58="Koop",I58+1,0))</f>
        <v>0</v>
      </c>
      <c r="U58" s="23" t="n">
        <f aca="false">IF($E58="Lease-koop",p_Lease,0)</f>
        <v>0</v>
      </c>
      <c r="V58" s="24" t="n">
        <f aca="false">IF($A58="",0,N(INDEX('In gebruik'!$R:$R,ROW()+(-3))))</f>
        <v>0</v>
      </c>
      <c r="W58" s="24" t="n">
        <f aca="false">IF($A58="",0,N(INDEX('In gebruik'!$S:$S,ROW()+(-3))))</f>
        <v>0</v>
      </c>
      <c r="X58" s="21" t="n">
        <f aca="false">IF(W58&gt;0,N(INDEX('In gebruik'!$T:$T,ROW()+(-3))),0)</f>
        <v>0</v>
      </c>
      <c r="Y58" s="24" t="n">
        <f aca="false">IF(W58&gt;0,IF(N(INDEX('In gebruik'!$P:$P,ROW()+(-3)))&gt;0,N(INDEX('In gebruik'!$P:$P,ROW()+(-3))),p_Lease),0)</f>
        <v>0</v>
      </c>
      <c r="AA58" s="23" t="n">
        <f aca="false">IF($Q58+$W58=0,0,IF(AA$7=$I58,$K58+$L58+$M58+$P58,0)+IF(AA$7=$O58,$N58,0)+IF(AA$7=$X58,$W58,0))</f>
        <v>0</v>
      </c>
      <c r="AB58" s="23" t="n">
        <f aca="false">IF($Q58+$W58=0,0,IF(AB$7=$I58,$K58+$L58+$M58+$P58,0)+IF(AB$7=$O58,$N58,0)+IF(AB$7=$X58,$W58,0))</f>
        <v>0</v>
      </c>
      <c r="AC58" s="23" t="n">
        <f aca="false">IF($Q58+$W58=0,0,IF(AC$7=$I58,$K58+$L58+$M58+$P58,0)+IF(AC$7=$O58,$N58,0)+IF(AC$7=$X58,$W58,0))</f>
        <v>0</v>
      </c>
      <c r="AD58" s="23" t="n">
        <f aca="false">IF($Q58+$W58=0,0,IF(AD$7=$I58,$K58+$L58+$M58+$P58,0)+IF(AD$7=$O58,$N58,0)+IF(AD$7=$X58,$W58,0))</f>
        <v>0</v>
      </c>
      <c r="AE58" s="23" t="n">
        <f aca="false">IF($Q58+$W58=0,0,IF(AE$7=$I58,$K58+$L58+$M58+$P58,0)+IF(AE$7=$O58,$N58,0)+IF(AE$7=$X58,$W58,0))</f>
        <v>0</v>
      </c>
      <c r="AF58" s="23" t="n">
        <f aca="false">IF($Q58+$W58=0,0,IF(AF$7=$I58,$K58+$L58+$M58+$P58,0)+IF(AF$7=$O58,$N58,0)+IF(AF$7=$X58,$W58,0))</f>
        <v>0</v>
      </c>
      <c r="AG58" s="23" t="n">
        <f aca="false">IF($Q58+$W58=0,0,IF(AG$7=$I58,$K58+$L58+$M58+$P58,0)+IF(AG$7=$O58,$N58,0)+IF(AG$7=$X58,$W58,0))</f>
        <v>0</v>
      </c>
      <c r="AH58" s="23" t="n">
        <f aca="false">IF($Q58+$W58=0,0,IF(AH$7=$I58,$K58+$L58+$M58+$P58,0)+IF(AH$7=$O58,$N58,0)+IF(AH$7=$X58,$W58,0))</f>
        <v>0</v>
      </c>
      <c r="AJ58" s="23" t="n">
        <f aca="false">IF(AND($S58&gt;0,AJ$7&gt;=$T58,AJ$7&lt;$T58+$R58),$S58,0)+IF(AND($W58&gt;0,AJ$7&gt;$X58,AJ$7&lt;=$X58+p_AfschrLK),($V58+$W58)/p_AfschrLK,0)</f>
        <v>0</v>
      </c>
      <c r="AK58" s="23" t="n">
        <f aca="false">IF(AND($S58&gt;0,AK$7&gt;=$T58,AK$7&lt;$T58+$R58),$S58,0)+IF(AND($W58&gt;0,AK$7&gt;$X58,AK$7&lt;=$X58+p_AfschrLK),($V58+$W58)/p_AfschrLK,0)</f>
        <v>0</v>
      </c>
      <c r="AL58" s="23" t="n">
        <f aca="false">IF(AND($S58&gt;0,AL$7&gt;=$T58,AL$7&lt;$T58+$R58),$S58,0)+IF(AND($W58&gt;0,AL$7&gt;$X58,AL$7&lt;=$X58+p_AfschrLK),($V58+$W58)/p_AfschrLK,0)</f>
        <v>0</v>
      </c>
      <c r="AM58" s="23" t="n">
        <f aca="false">IF(AND($S58&gt;0,AM$7&gt;=$T58,AM$7&lt;$T58+$R58),$S58,0)+IF(AND($W58&gt;0,AM$7&gt;$X58,AM$7&lt;=$X58+p_AfschrLK),($V58+$W58)/p_AfschrLK,0)</f>
        <v>0</v>
      </c>
      <c r="AN58" s="23" t="n">
        <f aca="false">IF(AND($S58&gt;0,AN$7&gt;=$T58,AN$7&lt;$T58+$R58),$S58,0)+IF(AND($W58&gt;0,AN$7&gt;$X58,AN$7&lt;=$X58+p_AfschrLK),($V58+$W58)/p_AfschrLK,0)</f>
        <v>0</v>
      </c>
      <c r="AO58" s="23" t="n">
        <f aca="false">IF(AND($S58&gt;0,AO$7&gt;=$T58,AO$7&lt;$T58+$R58),$S58,0)+IF(AND($W58&gt;0,AO$7&gt;$X58,AO$7&lt;=$X58+p_AfschrLK),($V58+$W58)/p_AfschrLK,0)</f>
        <v>0</v>
      </c>
      <c r="AP58" s="23" t="n">
        <f aca="false">IF(AND($S58&gt;0,AP$7&gt;=$T58,AP$7&lt;$T58+$R58),$S58,0)+IF(AND($W58&gt;0,AP$7&gt;$X58,AP$7&lt;=$X58+p_AfschrLK),($V58+$W58)/p_AfschrLK,0)</f>
        <v>0</v>
      </c>
      <c r="AQ58" s="23" t="n">
        <f aca="false">IF(AND($S58&gt;0,AQ$7&gt;=$T58,AQ$7&lt;$T58+$R58),$S58,0)+IF(AND($W58&gt;0,AQ$7&gt;$X58,AQ$7&lt;=$X58+p_AfschrLK),($V58+$W58)/p_AfschrLK,0)</f>
        <v>0</v>
      </c>
    </row>
    <row r="59" customFormat="false" ht="15" hidden="false" customHeight="false" outlineLevel="0" collapsed="false">
      <c r="A59" s="20" t="str">
        <f aca="false">IF(INDEX('In gebruik'!$A:$A,ROW()+(-3))="","",INDEX('In gebruik'!$A:$A,ROW()+(-3)))</f>
        <v/>
      </c>
      <c r="B59" s="20" t="str">
        <f aca="false">IF($A59="","",INDEX('In gebruik'!$B:$B,ROW()+(-3))&amp;"")</f>
        <v/>
      </c>
      <c r="C59" s="20" t="str">
        <f aca="false">IF($A59="","",INDEX('In gebruik'!$H:$H,ROW()+(-3))&amp;"")</f>
        <v/>
      </c>
      <c r="D59" s="20" t="str">
        <f aca="false">IF($A59="","",INDEX('In gebruik'!$G:$G,ROW()+(-3))&amp;"")</f>
        <v/>
      </c>
      <c r="E59" s="20" t="str">
        <f aca="false">IF($A59="","",INDEX('In gebruik'!$U:$U,ROW()+(-3))&amp;"")</f>
        <v/>
      </c>
      <c r="F59" s="21" t="n">
        <f aca="false">IF($A59="",0,N(INDEX('In gebruik'!$J:$J,ROW()+(-3))))</f>
        <v>0</v>
      </c>
      <c r="G59" s="21" t="n">
        <f aca="false">IF($A59="",0,N(INDEX('In gebruik'!$K:$K,ROW()+(-3))))</f>
        <v>0</v>
      </c>
      <c r="H59" s="12" t="n">
        <f aca="false">IF(G59&gt;0,F59+G59-1,0)</f>
        <v>0</v>
      </c>
      <c r="I59" s="12" t="n">
        <f aca="false">IF($A59="",0,IF(N(INDEX('In gebruik'!$W:$W,ROW()+(-3)))&gt;0,N(INDEX('In gebruik'!$W:$W,ROW()+(-3))),IF(G59&gt;0,MAX(F59+G59,p_Start),0)))</f>
        <v>0</v>
      </c>
      <c r="J59" s="22" t="str">
        <f aca="false">IF($A59="","",IF(AND(G59&gt;0,F59+G59&lt;p_Start),"Over levensduur",IF(AND(I59&gt;0,I59&lt;=p_Start+3),"In begrotingsperiode","")))</f>
        <v/>
      </c>
      <c r="K59" s="23" t="n">
        <f aca="false">IF($E59="Lease-koop",p_Aanbet,0)</f>
        <v>0</v>
      </c>
      <c r="L59" s="23" t="n">
        <f aca="false">IF($E59="Lease-koop",p_Belet,0)</f>
        <v>0</v>
      </c>
      <c r="M59" s="23" t="n">
        <f aca="false">IF($E59="Lease-koop",p_Opbouw,0)</f>
        <v>0</v>
      </c>
      <c r="N59" s="23" t="n">
        <f aca="false">IF($E59="Lease-koop",p_Slot,0)</f>
        <v>0</v>
      </c>
      <c r="O59" s="12" t="n">
        <f aca="false">IF($E59="Lease-koop",I59+p_SlotJr,0)</f>
        <v>0</v>
      </c>
      <c r="P59" s="23" t="n">
        <f aca="false">IF($E59="Koop",N(INDEX('In gebruik'!$V:$V,ROW()+(-3))),0)</f>
        <v>0</v>
      </c>
      <c r="Q59" s="23" t="n">
        <f aca="false">K59+L59+M59+N59+P59</f>
        <v>0</v>
      </c>
      <c r="R59" s="12" t="n">
        <f aca="false">IF($E59="Lease-koop",p_AfschrLK,IF($E59="Koop",G59,0))</f>
        <v>0</v>
      </c>
      <c r="S59" s="23" t="n">
        <f aca="false">IF(R59&gt;0,Q59/R59,0)</f>
        <v>0</v>
      </c>
      <c r="T59" s="12" t="n">
        <f aca="false">IF($E59="Lease-koop",O59+1,IF($E59="Koop",I59+1,0))</f>
        <v>0</v>
      </c>
      <c r="U59" s="23" t="n">
        <f aca="false">IF($E59="Lease-koop",p_Lease,0)</f>
        <v>0</v>
      </c>
      <c r="V59" s="24" t="n">
        <f aca="false">IF($A59="",0,N(INDEX('In gebruik'!$R:$R,ROW()+(-3))))</f>
        <v>0</v>
      </c>
      <c r="W59" s="24" t="n">
        <f aca="false">IF($A59="",0,N(INDEX('In gebruik'!$S:$S,ROW()+(-3))))</f>
        <v>0</v>
      </c>
      <c r="X59" s="21" t="n">
        <f aca="false">IF(W59&gt;0,N(INDEX('In gebruik'!$T:$T,ROW()+(-3))),0)</f>
        <v>0</v>
      </c>
      <c r="Y59" s="24" t="n">
        <f aca="false">IF(W59&gt;0,IF(N(INDEX('In gebruik'!$P:$P,ROW()+(-3)))&gt;0,N(INDEX('In gebruik'!$P:$P,ROW()+(-3))),p_Lease),0)</f>
        <v>0</v>
      </c>
      <c r="AA59" s="23" t="n">
        <f aca="false">IF($Q59+$W59=0,0,IF(AA$7=$I59,$K59+$L59+$M59+$P59,0)+IF(AA$7=$O59,$N59,0)+IF(AA$7=$X59,$W59,0))</f>
        <v>0</v>
      </c>
      <c r="AB59" s="23" t="n">
        <f aca="false">IF($Q59+$W59=0,0,IF(AB$7=$I59,$K59+$L59+$M59+$P59,0)+IF(AB$7=$O59,$N59,0)+IF(AB$7=$X59,$W59,0))</f>
        <v>0</v>
      </c>
      <c r="AC59" s="23" t="n">
        <f aca="false">IF($Q59+$W59=0,0,IF(AC$7=$I59,$K59+$L59+$M59+$P59,0)+IF(AC$7=$O59,$N59,0)+IF(AC$7=$X59,$W59,0))</f>
        <v>0</v>
      </c>
      <c r="AD59" s="23" t="n">
        <f aca="false">IF($Q59+$W59=0,0,IF(AD$7=$I59,$K59+$L59+$M59+$P59,0)+IF(AD$7=$O59,$N59,0)+IF(AD$7=$X59,$W59,0))</f>
        <v>0</v>
      </c>
      <c r="AE59" s="23" t="n">
        <f aca="false">IF($Q59+$W59=0,0,IF(AE$7=$I59,$K59+$L59+$M59+$P59,0)+IF(AE$7=$O59,$N59,0)+IF(AE$7=$X59,$W59,0))</f>
        <v>0</v>
      </c>
      <c r="AF59" s="23" t="n">
        <f aca="false">IF($Q59+$W59=0,0,IF(AF$7=$I59,$K59+$L59+$M59+$P59,0)+IF(AF$7=$O59,$N59,0)+IF(AF$7=$X59,$W59,0))</f>
        <v>0</v>
      </c>
      <c r="AG59" s="23" t="n">
        <f aca="false">IF($Q59+$W59=0,0,IF(AG$7=$I59,$K59+$L59+$M59+$P59,0)+IF(AG$7=$O59,$N59,0)+IF(AG$7=$X59,$W59,0))</f>
        <v>0</v>
      </c>
      <c r="AH59" s="23" t="n">
        <f aca="false">IF($Q59+$W59=0,0,IF(AH$7=$I59,$K59+$L59+$M59+$P59,0)+IF(AH$7=$O59,$N59,0)+IF(AH$7=$X59,$W59,0))</f>
        <v>0</v>
      </c>
      <c r="AJ59" s="23" t="n">
        <f aca="false">IF(AND($S59&gt;0,AJ$7&gt;=$T59,AJ$7&lt;$T59+$R59),$S59,0)+IF(AND($W59&gt;0,AJ$7&gt;$X59,AJ$7&lt;=$X59+p_AfschrLK),($V59+$W59)/p_AfschrLK,0)</f>
        <v>0</v>
      </c>
      <c r="AK59" s="23" t="n">
        <f aca="false">IF(AND($S59&gt;0,AK$7&gt;=$T59,AK$7&lt;$T59+$R59),$S59,0)+IF(AND($W59&gt;0,AK$7&gt;$X59,AK$7&lt;=$X59+p_AfschrLK),($V59+$W59)/p_AfschrLK,0)</f>
        <v>0</v>
      </c>
      <c r="AL59" s="23" t="n">
        <f aca="false">IF(AND($S59&gt;0,AL$7&gt;=$T59,AL$7&lt;$T59+$R59),$S59,0)+IF(AND($W59&gt;0,AL$7&gt;$X59,AL$7&lt;=$X59+p_AfschrLK),($V59+$W59)/p_AfschrLK,0)</f>
        <v>0</v>
      </c>
      <c r="AM59" s="23" t="n">
        <f aca="false">IF(AND($S59&gt;0,AM$7&gt;=$T59,AM$7&lt;$T59+$R59),$S59,0)+IF(AND($W59&gt;0,AM$7&gt;$X59,AM$7&lt;=$X59+p_AfschrLK),($V59+$W59)/p_AfschrLK,0)</f>
        <v>0</v>
      </c>
      <c r="AN59" s="23" t="n">
        <f aca="false">IF(AND($S59&gt;0,AN$7&gt;=$T59,AN$7&lt;$T59+$R59),$S59,0)+IF(AND($W59&gt;0,AN$7&gt;$X59,AN$7&lt;=$X59+p_AfschrLK),($V59+$W59)/p_AfschrLK,0)</f>
        <v>0</v>
      </c>
      <c r="AO59" s="23" t="n">
        <f aca="false">IF(AND($S59&gt;0,AO$7&gt;=$T59,AO$7&lt;$T59+$R59),$S59,0)+IF(AND($W59&gt;0,AO$7&gt;$X59,AO$7&lt;=$X59+p_AfschrLK),($V59+$W59)/p_AfschrLK,0)</f>
        <v>0</v>
      </c>
      <c r="AP59" s="23" t="n">
        <f aca="false">IF(AND($S59&gt;0,AP$7&gt;=$T59,AP$7&lt;$T59+$R59),$S59,0)+IF(AND($W59&gt;0,AP$7&gt;$X59,AP$7&lt;=$X59+p_AfschrLK),($V59+$W59)/p_AfschrLK,0)</f>
        <v>0</v>
      </c>
      <c r="AQ59" s="23" t="n">
        <f aca="false">IF(AND($S59&gt;0,AQ$7&gt;=$T59,AQ$7&lt;$T59+$R59),$S59,0)+IF(AND($W59&gt;0,AQ$7&gt;$X59,AQ$7&lt;=$X59+p_AfschrLK),($V59+$W59)/p_AfschrLK,0)</f>
        <v>0</v>
      </c>
    </row>
    <row r="60" customFormat="false" ht="15" hidden="false" customHeight="false" outlineLevel="0" collapsed="false">
      <c r="A60" s="20" t="str">
        <f aca="false">IF(INDEX('In gebruik'!$A:$A,ROW()+(-3))="","",INDEX('In gebruik'!$A:$A,ROW()+(-3)))</f>
        <v/>
      </c>
      <c r="B60" s="20" t="str">
        <f aca="false">IF($A60="","",INDEX('In gebruik'!$B:$B,ROW()+(-3))&amp;"")</f>
        <v/>
      </c>
      <c r="C60" s="20" t="str">
        <f aca="false">IF($A60="","",INDEX('In gebruik'!$H:$H,ROW()+(-3))&amp;"")</f>
        <v/>
      </c>
      <c r="D60" s="20" t="str">
        <f aca="false">IF($A60="","",INDEX('In gebruik'!$G:$G,ROW()+(-3))&amp;"")</f>
        <v/>
      </c>
      <c r="E60" s="20" t="str">
        <f aca="false">IF($A60="","",INDEX('In gebruik'!$U:$U,ROW()+(-3))&amp;"")</f>
        <v/>
      </c>
      <c r="F60" s="21" t="n">
        <f aca="false">IF($A60="",0,N(INDEX('In gebruik'!$J:$J,ROW()+(-3))))</f>
        <v>0</v>
      </c>
      <c r="G60" s="21" t="n">
        <f aca="false">IF($A60="",0,N(INDEX('In gebruik'!$K:$K,ROW()+(-3))))</f>
        <v>0</v>
      </c>
      <c r="H60" s="12" t="n">
        <f aca="false">IF(G60&gt;0,F60+G60-1,0)</f>
        <v>0</v>
      </c>
      <c r="I60" s="12" t="n">
        <f aca="false">IF($A60="",0,IF(N(INDEX('In gebruik'!$W:$W,ROW()+(-3)))&gt;0,N(INDEX('In gebruik'!$W:$W,ROW()+(-3))),IF(G60&gt;0,MAX(F60+G60,p_Start),0)))</f>
        <v>0</v>
      </c>
      <c r="J60" s="22" t="str">
        <f aca="false">IF($A60="","",IF(AND(G60&gt;0,F60+G60&lt;p_Start),"Over levensduur",IF(AND(I60&gt;0,I60&lt;=p_Start+3),"In begrotingsperiode","")))</f>
        <v/>
      </c>
      <c r="K60" s="23" t="n">
        <f aca="false">IF($E60="Lease-koop",p_Aanbet,0)</f>
        <v>0</v>
      </c>
      <c r="L60" s="23" t="n">
        <f aca="false">IF($E60="Lease-koop",p_Belet,0)</f>
        <v>0</v>
      </c>
      <c r="M60" s="23" t="n">
        <f aca="false">IF($E60="Lease-koop",p_Opbouw,0)</f>
        <v>0</v>
      </c>
      <c r="N60" s="23" t="n">
        <f aca="false">IF($E60="Lease-koop",p_Slot,0)</f>
        <v>0</v>
      </c>
      <c r="O60" s="12" t="n">
        <f aca="false">IF($E60="Lease-koop",I60+p_SlotJr,0)</f>
        <v>0</v>
      </c>
      <c r="P60" s="23" t="n">
        <f aca="false">IF($E60="Koop",N(INDEX('In gebruik'!$V:$V,ROW()+(-3))),0)</f>
        <v>0</v>
      </c>
      <c r="Q60" s="23" t="n">
        <f aca="false">K60+L60+M60+N60+P60</f>
        <v>0</v>
      </c>
      <c r="R60" s="12" t="n">
        <f aca="false">IF($E60="Lease-koop",p_AfschrLK,IF($E60="Koop",G60,0))</f>
        <v>0</v>
      </c>
      <c r="S60" s="23" t="n">
        <f aca="false">IF(R60&gt;0,Q60/R60,0)</f>
        <v>0</v>
      </c>
      <c r="T60" s="12" t="n">
        <f aca="false">IF($E60="Lease-koop",O60+1,IF($E60="Koop",I60+1,0))</f>
        <v>0</v>
      </c>
      <c r="U60" s="23" t="n">
        <f aca="false">IF($E60="Lease-koop",p_Lease,0)</f>
        <v>0</v>
      </c>
      <c r="V60" s="24" t="n">
        <f aca="false">IF($A60="",0,N(INDEX('In gebruik'!$R:$R,ROW()+(-3))))</f>
        <v>0</v>
      </c>
      <c r="W60" s="24" t="n">
        <f aca="false">IF($A60="",0,N(INDEX('In gebruik'!$S:$S,ROW()+(-3))))</f>
        <v>0</v>
      </c>
      <c r="X60" s="21" t="n">
        <f aca="false">IF(W60&gt;0,N(INDEX('In gebruik'!$T:$T,ROW()+(-3))),0)</f>
        <v>0</v>
      </c>
      <c r="Y60" s="24" t="n">
        <f aca="false">IF(W60&gt;0,IF(N(INDEX('In gebruik'!$P:$P,ROW()+(-3)))&gt;0,N(INDEX('In gebruik'!$P:$P,ROW()+(-3))),p_Lease),0)</f>
        <v>0</v>
      </c>
      <c r="AA60" s="23" t="n">
        <f aca="false">IF($Q60+$W60=0,0,IF(AA$7=$I60,$K60+$L60+$M60+$P60,0)+IF(AA$7=$O60,$N60,0)+IF(AA$7=$X60,$W60,0))</f>
        <v>0</v>
      </c>
      <c r="AB60" s="23" t="n">
        <f aca="false">IF($Q60+$W60=0,0,IF(AB$7=$I60,$K60+$L60+$M60+$P60,0)+IF(AB$7=$O60,$N60,0)+IF(AB$7=$X60,$W60,0))</f>
        <v>0</v>
      </c>
      <c r="AC60" s="23" t="n">
        <f aca="false">IF($Q60+$W60=0,0,IF(AC$7=$I60,$K60+$L60+$M60+$P60,0)+IF(AC$7=$O60,$N60,0)+IF(AC$7=$X60,$W60,0))</f>
        <v>0</v>
      </c>
      <c r="AD60" s="23" t="n">
        <f aca="false">IF($Q60+$W60=0,0,IF(AD$7=$I60,$K60+$L60+$M60+$P60,0)+IF(AD$7=$O60,$N60,0)+IF(AD$7=$X60,$W60,0))</f>
        <v>0</v>
      </c>
      <c r="AE60" s="23" t="n">
        <f aca="false">IF($Q60+$W60=0,0,IF(AE$7=$I60,$K60+$L60+$M60+$P60,0)+IF(AE$7=$O60,$N60,0)+IF(AE$7=$X60,$W60,0))</f>
        <v>0</v>
      </c>
      <c r="AF60" s="23" t="n">
        <f aca="false">IF($Q60+$W60=0,0,IF(AF$7=$I60,$K60+$L60+$M60+$P60,0)+IF(AF$7=$O60,$N60,0)+IF(AF$7=$X60,$W60,0))</f>
        <v>0</v>
      </c>
      <c r="AG60" s="23" t="n">
        <f aca="false">IF($Q60+$W60=0,0,IF(AG$7=$I60,$K60+$L60+$M60+$P60,0)+IF(AG$7=$O60,$N60,0)+IF(AG$7=$X60,$W60,0))</f>
        <v>0</v>
      </c>
      <c r="AH60" s="23" t="n">
        <f aca="false">IF($Q60+$W60=0,0,IF(AH$7=$I60,$K60+$L60+$M60+$P60,0)+IF(AH$7=$O60,$N60,0)+IF(AH$7=$X60,$W60,0))</f>
        <v>0</v>
      </c>
      <c r="AJ60" s="23" t="n">
        <f aca="false">IF(AND($S60&gt;0,AJ$7&gt;=$T60,AJ$7&lt;$T60+$R60),$S60,0)+IF(AND($W60&gt;0,AJ$7&gt;$X60,AJ$7&lt;=$X60+p_AfschrLK),($V60+$W60)/p_AfschrLK,0)</f>
        <v>0</v>
      </c>
      <c r="AK60" s="23" t="n">
        <f aca="false">IF(AND($S60&gt;0,AK$7&gt;=$T60,AK$7&lt;$T60+$R60),$S60,0)+IF(AND($W60&gt;0,AK$7&gt;$X60,AK$7&lt;=$X60+p_AfschrLK),($V60+$W60)/p_AfschrLK,0)</f>
        <v>0</v>
      </c>
      <c r="AL60" s="23" t="n">
        <f aca="false">IF(AND($S60&gt;0,AL$7&gt;=$T60,AL$7&lt;$T60+$R60),$S60,0)+IF(AND($W60&gt;0,AL$7&gt;$X60,AL$7&lt;=$X60+p_AfschrLK),($V60+$W60)/p_AfschrLK,0)</f>
        <v>0</v>
      </c>
      <c r="AM60" s="23" t="n">
        <f aca="false">IF(AND($S60&gt;0,AM$7&gt;=$T60,AM$7&lt;$T60+$R60),$S60,0)+IF(AND($W60&gt;0,AM$7&gt;$X60,AM$7&lt;=$X60+p_AfschrLK),($V60+$W60)/p_AfschrLK,0)</f>
        <v>0</v>
      </c>
      <c r="AN60" s="23" t="n">
        <f aca="false">IF(AND($S60&gt;0,AN$7&gt;=$T60,AN$7&lt;$T60+$R60),$S60,0)+IF(AND($W60&gt;0,AN$7&gt;$X60,AN$7&lt;=$X60+p_AfschrLK),($V60+$W60)/p_AfschrLK,0)</f>
        <v>0</v>
      </c>
      <c r="AO60" s="23" t="n">
        <f aca="false">IF(AND($S60&gt;0,AO$7&gt;=$T60,AO$7&lt;$T60+$R60),$S60,0)+IF(AND($W60&gt;0,AO$7&gt;$X60,AO$7&lt;=$X60+p_AfschrLK),($V60+$W60)/p_AfschrLK,0)</f>
        <v>0</v>
      </c>
      <c r="AP60" s="23" t="n">
        <f aca="false">IF(AND($S60&gt;0,AP$7&gt;=$T60,AP$7&lt;$T60+$R60),$S60,0)+IF(AND($W60&gt;0,AP$7&gt;$X60,AP$7&lt;=$X60+p_AfschrLK),($V60+$W60)/p_AfschrLK,0)</f>
        <v>0</v>
      </c>
      <c r="AQ60" s="23" t="n">
        <f aca="false">IF(AND($S60&gt;0,AQ$7&gt;=$T60,AQ$7&lt;$T60+$R60),$S60,0)+IF(AND($W60&gt;0,AQ$7&gt;$X60,AQ$7&lt;=$X60+p_AfschrLK),($V60+$W60)/p_AfschrLK,0)</f>
        <v>0</v>
      </c>
    </row>
    <row r="61" customFormat="false" ht="15" hidden="false" customHeight="false" outlineLevel="0" collapsed="false">
      <c r="A61" s="20" t="str">
        <f aca="false">IF(INDEX('In gebruik'!$A:$A,ROW()+(-3))="","",INDEX('In gebruik'!$A:$A,ROW()+(-3)))</f>
        <v/>
      </c>
      <c r="B61" s="20" t="str">
        <f aca="false">IF($A61="","",INDEX('In gebruik'!$B:$B,ROW()+(-3))&amp;"")</f>
        <v/>
      </c>
      <c r="C61" s="20" t="str">
        <f aca="false">IF($A61="","",INDEX('In gebruik'!$H:$H,ROW()+(-3))&amp;"")</f>
        <v/>
      </c>
      <c r="D61" s="20" t="str">
        <f aca="false">IF($A61="","",INDEX('In gebruik'!$G:$G,ROW()+(-3))&amp;"")</f>
        <v/>
      </c>
      <c r="E61" s="20" t="str">
        <f aca="false">IF($A61="","",INDEX('In gebruik'!$U:$U,ROW()+(-3))&amp;"")</f>
        <v/>
      </c>
      <c r="F61" s="21" t="n">
        <f aca="false">IF($A61="",0,N(INDEX('In gebruik'!$J:$J,ROW()+(-3))))</f>
        <v>0</v>
      </c>
      <c r="G61" s="21" t="n">
        <f aca="false">IF($A61="",0,N(INDEX('In gebruik'!$K:$K,ROW()+(-3))))</f>
        <v>0</v>
      </c>
      <c r="H61" s="12" t="n">
        <f aca="false">IF(G61&gt;0,F61+G61-1,0)</f>
        <v>0</v>
      </c>
      <c r="I61" s="12" t="n">
        <f aca="false">IF($A61="",0,IF(N(INDEX('In gebruik'!$W:$W,ROW()+(-3)))&gt;0,N(INDEX('In gebruik'!$W:$W,ROW()+(-3))),IF(G61&gt;0,MAX(F61+G61,p_Start),0)))</f>
        <v>0</v>
      </c>
      <c r="J61" s="22" t="str">
        <f aca="false">IF($A61="","",IF(AND(G61&gt;0,F61+G61&lt;p_Start),"Over levensduur",IF(AND(I61&gt;0,I61&lt;=p_Start+3),"In begrotingsperiode","")))</f>
        <v/>
      </c>
      <c r="K61" s="23" t="n">
        <f aca="false">IF($E61="Lease-koop",p_Aanbet,0)</f>
        <v>0</v>
      </c>
      <c r="L61" s="23" t="n">
        <f aca="false">IF($E61="Lease-koop",p_Belet,0)</f>
        <v>0</v>
      </c>
      <c r="M61" s="23" t="n">
        <f aca="false">IF($E61="Lease-koop",p_Opbouw,0)</f>
        <v>0</v>
      </c>
      <c r="N61" s="23" t="n">
        <f aca="false">IF($E61="Lease-koop",p_Slot,0)</f>
        <v>0</v>
      </c>
      <c r="O61" s="12" t="n">
        <f aca="false">IF($E61="Lease-koop",I61+p_SlotJr,0)</f>
        <v>0</v>
      </c>
      <c r="P61" s="23" t="n">
        <f aca="false">IF($E61="Koop",N(INDEX('In gebruik'!$V:$V,ROW()+(-3))),0)</f>
        <v>0</v>
      </c>
      <c r="Q61" s="23" t="n">
        <f aca="false">K61+L61+M61+N61+P61</f>
        <v>0</v>
      </c>
      <c r="R61" s="12" t="n">
        <f aca="false">IF($E61="Lease-koop",p_AfschrLK,IF($E61="Koop",G61,0))</f>
        <v>0</v>
      </c>
      <c r="S61" s="23" t="n">
        <f aca="false">IF(R61&gt;0,Q61/R61,0)</f>
        <v>0</v>
      </c>
      <c r="T61" s="12" t="n">
        <f aca="false">IF($E61="Lease-koop",O61+1,IF($E61="Koop",I61+1,0))</f>
        <v>0</v>
      </c>
      <c r="U61" s="23" t="n">
        <f aca="false">IF($E61="Lease-koop",p_Lease,0)</f>
        <v>0</v>
      </c>
      <c r="V61" s="24" t="n">
        <f aca="false">IF($A61="",0,N(INDEX('In gebruik'!$R:$R,ROW()+(-3))))</f>
        <v>0</v>
      </c>
      <c r="W61" s="24" t="n">
        <f aca="false">IF($A61="",0,N(INDEX('In gebruik'!$S:$S,ROW()+(-3))))</f>
        <v>0</v>
      </c>
      <c r="X61" s="21" t="n">
        <f aca="false">IF(W61&gt;0,N(INDEX('In gebruik'!$T:$T,ROW()+(-3))),0)</f>
        <v>0</v>
      </c>
      <c r="Y61" s="24" t="n">
        <f aca="false">IF(W61&gt;0,IF(N(INDEX('In gebruik'!$P:$P,ROW()+(-3)))&gt;0,N(INDEX('In gebruik'!$P:$P,ROW()+(-3))),p_Lease),0)</f>
        <v>0</v>
      </c>
      <c r="AA61" s="23" t="n">
        <f aca="false">IF($Q61+$W61=0,0,IF(AA$7=$I61,$K61+$L61+$M61+$P61,0)+IF(AA$7=$O61,$N61,0)+IF(AA$7=$X61,$W61,0))</f>
        <v>0</v>
      </c>
      <c r="AB61" s="23" t="n">
        <f aca="false">IF($Q61+$W61=0,0,IF(AB$7=$I61,$K61+$L61+$M61+$P61,0)+IF(AB$7=$O61,$N61,0)+IF(AB$7=$X61,$W61,0))</f>
        <v>0</v>
      </c>
      <c r="AC61" s="23" t="n">
        <f aca="false">IF($Q61+$W61=0,0,IF(AC$7=$I61,$K61+$L61+$M61+$P61,0)+IF(AC$7=$O61,$N61,0)+IF(AC$7=$X61,$W61,0))</f>
        <v>0</v>
      </c>
      <c r="AD61" s="23" t="n">
        <f aca="false">IF($Q61+$W61=0,0,IF(AD$7=$I61,$K61+$L61+$M61+$P61,0)+IF(AD$7=$O61,$N61,0)+IF(AD$7=$X61,$W61,0))</f>
        <v>0</v>
      </c>
      <c r="AE61" s="23" t="n">
        <f aca="false">IF($Q61+$W61=0,0,IF(AE$7=$I61,$K61+$L61+$M61+$P61,0)+IF(AE$7=$O61,$N61,0)+IF(AE$7=$X61,$W61,0))</f>
        <v>0</v>
      </c>
      <c r="AF61" s="23" t="n">
        <f aca="false">IF($Q61+$W61=0,0,IF(AF$7=$I61,$K61+$L61+$M61+$P61,0)+IF(AF$7=$O61,$N61,0)+IF(AF$7=$X61,$W61,0))</f>
        <v>0</v>
      </c>
      <c r="AG61" s="23" t="n">
        <f aca="false">IF($Q61+$W61=0,0,IF(AG$7=$I61,$K61+$L61+$M61+$P61,0)+IF(AG$7=$O61,$N61,0)+IF(AG$7=$X61,$W61,0))</f>
        <v>0</v>
      </c>
      <c r="AH61" s="23" t="n">
        <f aca="false">IF($Q61+$W61=0,0,IF(AH$7=$I61,$K61+$L61+$M61+$P61,0)+IF(AH$7=$O61,$N61,0)+IF(AH$7=$X61,$W61,0))</f>
        <v>0</v>
      </c>
      <c r="AJ61" s="23" t="n">
        <f aca="false">IF(AND($S61&gt;0,AJ$7&gt;=$T61,AJ$7&lt;$T61+$R61),$S61,0)+IF(AND($W61&gt;0,AJ$7&gt;$X61,AJ$7&lt;=$X61+p_AfschrLK),($V61+$W61)/p_AfschrLK,0)</f>
        <v>0</v>
      </c>
      <c r="AK61" s="23" t="n">
        <f aca="false">IF(AND($S61&gt;0,AK$7&gt;=$T61,AK$7&lt;$T61+$R61),$S61,0)+IF(AND($W61&gt;0,AK$7&gt;$X61,AK$7&lt;=$X61+p_AfschrLK),($V61+$W61)/p_AfschrLK,0)</f>
        <v>0</v>
      </c>
      <c r="AL61" s="23" t="n">
        <f aca="false">IF(AND($S61&gt;0,AL$7&gt;=$T61,AL$7&lt;$T61+$R61),$S61,0)+IF(AND($W61&gt;0,AL$7&gt;$X61,AL$7&lt;=$X61+p_AfschrLK),($V61+$W61)/p_AfschrLK,0)</f>
        <v>0</v>
      </c>
      <c r="AM61" s="23" t="n">
        <f aca="false">IF(AND($S61&gt;0,AM$7&gt;=$T61,AM$7&lt;$T61+$R61),$S61,0)+IF(AND($W61&gt;0,AM$7&gt;$X61,AM$7&lt;=$X61+p_AfschrLK),($V61+$W61)/p_AfschrLK,0)</f>
        <v>0</v>
      </c>
      <c r="AN61" s="23" t="n">
        <f aca="false">IF(AND($S61&gt;0,AN$7&gt;=$T61,AN$7&lt;$T61+$R61),$S61,0)+IF(AND($W61&gt;0,AN$7&gt;$X61,AN$7&lt;=$X61+p_AfschrLK),($V61+$W61)/p_AfschrLK,0)</f>
        <v>0</v>
      </c>
      <c r="AO61" s="23" t="n">
        <f aca="false">IF(AND($S61&gt;0,AO$7&gt;=$T61,AO$7&lt;$T61+$R61),$S61,0)+IF(AND($W61&gt;0,AO$7&gt;$X61,AO$7&lt;=$X61+p_AfschrLK),($V61+$W61)/p_AfschrLK,0)</f>
        <v>0</v>
      </c>
      <c r="AP61" s="23" t="n">
        <f aca="false">IF(AND($S61&gt;0,AP$7&gt;=$T61,AP$7&lt;$T61+$R61),$S61,0)+IF(AND($W61&gt;0,AP$7&gt;$X61,AP$7&lt;=$X61+p_AfschrLK),($V61+$W61)/p_AfschrLK,0)</f>
        <v>0</v>
      </c>
      <c r="AQ61" s="23" t="n">
        <f aca="false">IF(AND($S61&gt;0,AQ$7&gt;=$T61,AQ$7&lt;$T61+$R61),$S61,0)+IF(AND($W61&gt;0,AQ$7&gt;$X61,AQ$7&lt;=$X61+p_AfschrLK),($V61+$W61)/p_AfschrLK,0)</f>
        <v>0</v>
      </c>
    </row>
    <row r="62" customFormat="false" ht="15" hidden="false" customHeight="false" outlineLevel="0" collapsed="false">
      <c r="A62" s="20" t="str">
        <f aca="false">IF(INDEX('In gebruik'!$A:$A,ROW()+(-3))="","",INDEX('In gebruik'!$A:$A,ROW()+(-3)))</f>
        <v/>
      </c>
      <c r="B62" s="20" t="str">
        <f aca="false">IF($A62="","",INDEX('In gebruik'!$B:$B,ROW()+(-3))&amp;"")</f>
        <v/>
      </c>
      <c r="C62" s="20" t="str">
        <f aca="false">IF($A62="","",INDEX('In gebruik'!$H:$H,ROW()+(-3))&amp;"")</f>
        <v/>
      </c>
      <c r="D62" s="20" t="str">
        <f aca="false">IF($A62="","",INDEX('In gebruik'!$G:$G,ROW()+(-3))&amp;"")</f>
        <v/>
      </c>
      <c r="E62" s="20" t="str">
        <f aca="false">IF($A62="","",INDEX('In gebruik'!$U:$U,ROW()+(-3))&amp;"")</f>
        <v/>
      </c>
      <c r="F62" s="21" t="n">
        <f aca="false">IF($A62="",0,N(INDEX('In gebruik'!$J:$J,ROW()+(-3))))</f>
        <v>0</v>
      </c>
      <c r="G62" s="21" t="n">
        <f aca="false">IF($A62="",0,N(INDEX('In gebruik'!$K:$K,ROW()+(-3))))</f>
        <v>0</v>
      </c>
      <c r="H62" s="12" t="n">
        <f aca="false">IF(G62&gt;0,F62+G62-1,0)</f>
        <v>0</v>
      </c>
      <c r="I62" s="12" t="n">
        <f aca="false">IF($A62="",0,IF(N(INDEX('In gebruik'!$W:$W,ROW()+(-3)))&gt;0,N(INDEX('In gebruik'!$W:$W,ROW()+(-3))),IF(G62&gt;0,MAX(F62+G62,p_Start),0)))</f>
        <v>0</v>
      </c>
      <c r="J62" s="22" t="str">
        <f aca="false">IF($A62="","",IF(AND(G62&gt;0,F62+G62&lt;p_Start),"Over levensduur",IF(AND(I62&gt;0,I62&lt;=p_Start+3),"In begrotingsperiode","")))</f>
        <v/>
      </c>
      <c r="K62" s="23" t="n">
        <f aca="false">IF($E62="Lease-koop",p_Aanbet,0)</f>
        <v>0</v>
      </c>
      <c r="L62" s="23" t="n">
        <f aca="false">IF($E62="Lease-koop",p_Belet,0)</f>
        <v>0</v>
      </c>
      <c r="M62" s="23" t="n">
        <f aca="false">IF($E62="Lease-koop",p_Opbouw,0)</f>
        <v>0</v>
      </c>
      <c r="N62" s="23" t="n">
        <f aca="false">IF($E62="Lease-koop",p_Slot,0)</f>
        <v>0</v>
      </c>
      <c r="O62" s="12" t="n">
        <f aca="false">IF($E62="Lease-koop",I62+p_SlotJr,0)</f>
        <v>0</v>
      </c>
      <c r="P62" s="23" t="n">
        <f aca="false">IF($E62="Koop",N(INDEX('In gebruik'!$V:$V,ROW()+(-3))),0)</f>
        <v>0</v>
      </c>
      <c r="Q62" s="23" t="n">
        <f aca="false">K62+L62+M62+N62+P62</f>
        <v>0</v>
      </c>
      <c r="R62" s="12" t="n">
        <f aca="false">IF($E62="Lease-koop",p_AfschrLK,IF($E62="Koop",G62,0))</f>
        <v>0</v>
      </c>
      <c r="S62" s="23" t="n">
        <f aca="false">IF(R62&gt;0,Q62/R62,0)</f>
        <v>0</v>
      </c>
      <c r="T62" s="12" t="n">
        <f aca="false">IF($E62="Lease-koop",O62+1,IF($E62="Koop",I62+1,0))</f>
        <v>0</v>
      </c>
      <c r="U62" s="23" t="n">
        <f aca="false">IF($E62="Lease-koop",p_Lease,0)</f>
        <v>0</v>
      </c>
      <c r="V62" s="24" t="n">
        <f aca="false">IF($A62="",0,N(INDEX('In gebruik'!$R:$R,ROW()+(-3))))</f>
        <v>0</v>
      </c>
      <c r="W62" s="24" t="n">
        <f aca="false">IF($A62="",0,N(INDEX('In gebruik'!$S:$S,ROW()+(-3))))</f>
        <v>0</v>
      </c>
      <c r="X62" s="21" t="n">
        <f aca="false">IF(W62&gt;0,N(INDEX('In gebruik'!$T:$T,ROW()+(-3))),0)</f>
        <v>0</v>
      </c>
      <c r="Y62" s="24" t="n">
        <f aca="false">IF(W62&gt;0,IF(N(INDEX('In gebruik'!$P:$P,ROW()+(-3)))&gt;0,N(INDEX('In gebruik'!$P:$P,ROW()+(-3))),p_Lease),0)</f>
        <v>0</v>
      </c>
      <c r="AA62" s="23" t="n">
        <f aca="false">IF($Q62+$W62=0,0,IF(AA$7=$I62,$K62+$L62+$M62+$P62,0)+IF(AA$7=$O62,$N62,0)+IF(AA$7=$X62,$W62,0))</f>
        <v>0</v>
      </c>
      <c r="AB62" s="23" t="n">
        <f aca="false">IF($Q62+$W62=0,0,IF(AB$7=$I62,$K62+$L62+$M62+$P62,0)+IF(AB$7=$O62,$N62,0)+IF(AB$7=$X62,$W62,0))</f>
        <v>0</v>
      </c>
      <c r="AC62" s="23" t="n">
        <f aca="false">IF($Q62+$W62=0,0,IF(AC$7=$I62,$K62+$L62+$M62+$P62,0)+IF(AC$7=$O62,$N62,0)+IF(AC$7=$X62,$W62,0))</f>
        <v>0</v>
      </c>
      <c r="AD62" s="23" t="n">
        <f aca="false">IF($Q62+$W62=0,0,IF(AD$7=$I62,$K62+$L62+$M62+$P62,0)+IF(AD$7=$O62,$N62,0)+IF(AD$7=$X62,$W62,0))</f>
        <v>0</v>
      </c>
      <c r="AE62" s="23" t="n">
        <f aca="false">IF($Q62+$W62=0,0,IF(AE$7=$I62,$K62+$L62+$M62+$P62,0)+IF(AE$7=$O62,$N62,0)+IF(AE$7=$X62,$W62,0))</f>
        <v>0</v>
      </c>
      <c r="AF62" s="23" t="n">
        <f aca="false">IF($Q62+$W62=0,0,IF(AF$7=$I62,$K62+$L62+$M62+$P62,0)+IF(AF$7=$O62,$N62,0)+IF(AF$7=$X62,$W62,0))</f>
        <v>0</v>
      </c>
      <c r="AG62" s="23" t="n">
        <f aca="false">IF($Q62+$W62=0,0,IF(AG$7=$I62,$K62+$L62+$M62+$P62,0)+IF(AG$7=$O62,$N62,0)+IF(AG$7=$X62,$W62,0))</f>
        <v>0</v>
      </c>
      <c r="AH62" s="23" t="n">
        <f aca="false">IF($Q62+$W62=0,0,IF(AH$7=$I62,$K62+$L62+$M62+$P62,0)+IF(AH$7=$O62,$N62,0)+IF(AH$7=$X62,$W62,0))</f>
        <v>0</v>
      </c>
      <c r="AJ62" s="23" t="n">
        <f aca="false">IF(AND($S62&gt;0,AJ$7&gt;=$T62,AJ$7&lt;$T62+$R62),$S62,0)+IF(AND($W62&gt;0,AJ$7&gt;$X62,AJ$7&lt;=$X62+p_AfschrLK),($V62+$W62)/p_AfschrLK,0)</f>
        <v>0</v>
      </c>
      <c r="AK62" s="23" t="n">
        <f aca="false">IF(AND($S62&gt;0,AK$7&gt;=$T62,AK$7&lt;$T62+$R62),$S62,0)+IF(AND($W62&gt;0,AK$7&gt;$X62,AK$7&lt;=$X62+p_AfschrLK),($V62+$W62)/p_AfschrLK,0)</f>
        <v>0</v>
      </c>
      <c r="AL62" s="23" t="n">
        <f aca="false">IF(AND($S62&gt;0,AL$7&gt;=$T62,AL$7&lt;$T62+$R62),$S62,0)+IF(AND($W62&gt;0,AL$7&gt;$X62,AL$7&lt;=$X62+p_AfschrLK),($V62+$W62)/p_AfschrLK,0)</f>
        <v>0</v>
      </c>
      <c r="AM62" s="23" t="n">
        <f aca="false">IF(AND($S62&gt;0,AM$7&gt;=$T62,AM$7&lt;$T62+$R62),$S62,0)+IF(AND($W62&gt;0,AM$7&gt;$X62,AM$7&lt;=$X62+p_AfschrLK),($V62+$W62)/p_AfschrLK,0)</f>
        <v>0</v>
      </c>
      <c r="AN62" s="23" t="n">
        <f aca="false">IF(AND($S62&gt;0,AN$7&gt;=$T62,AN$7&lt;$T62+$R62),$S62,0)+IF(AND($W62&gt;0,AN$7&gt;$X62,AN$7&lt;=$X62+p_AfschrLK),($V62+$W62)/p_AfschrLK,0)</f>
        <v>0</v>
      </c>
      <c r="AO62" s="23" t="n">
        <f aca="false">IF(AND($S62&gt;0,AO$7&gt;=$T62,AO$7&lt;$T62+$R62),$S62,0)+IF(AND($W62&gt;0,AO$7&gt;$X62,AO$7&lt;=$X62+p_AfschrLK),($V62+$W62)/p_AfschrLK,0)</f>
        <v>0</v>
      </c>
      <c r="AP62" s="23" t="n">
        <f aca="false">IF(AND($S62&gt;0,AP$7&gt;=$T62,AP$7&lt;$T62+$R62),$S62,0)+IF(AND($W62&gt;0,AP$7&gt;$X62,AP$7&lt;=$X62+p_AfschrLK),($V62+$W62)/p_AfschrLK,0)</f>
        <v>0</v>
      </c>
      <c r="AQ62" s="23" t="n">
        <f aca="false">IF(AND($S62&gt;0,AQ$7&gt;=$T62,AQ$7&lt;$T62+$R62),$S62,0)+IF(AND($W62&gt;0,AQ$7&gt;$X62,AQ$7&lt;=$X62+p_AfschrLK),($V62+$W62)/p_AfschrLK,0)</f>
        <v>0</v>
      </c>
    </row>
    <row r="63" customFormat="false" ht="15" hidden="false" customHeight="false" outlineLevel="0" collapsed="false">
      <c r="A63" s="20" t="str">
        <f aca="false">IF(INDEX('In gebruik'!$A:$A,ROW()+(-3))="","",INDEX('In gebruik'!$A:$A,ROW()+(-3)))</f>
        <v/>
      </c>
      <c r="B63" s="20" t="str">
        <f aca="false">IF($A63="","",INDEX('In gebruik'!$B:$B,ROW()+(-3))&amp;"")</f>
        <v/>
      </c>
      <c r="C63" s="20" t="str">
        <f aca="false">IF($A63="","",INDEX('In gebruik'!$H:$H,ROW()+(-3))&amp;"")</f>
        <v/>
      </c>
      <c r="D63" s="20" t="str">
        <f aca="false">IF($A63="","",INDEX('In gebruik'!$G:$G,ROW()+(-3))&amp;"")</f>
        <v/>
      </c>
      <c r="E63" s="20" t="str">
        <f aca="false">IF($A63="","",INDEX('In gebruik'!$U:$U,ROW()+(-3))&amp;"")</f>
        <v/>
      </c>
      <c r="F63" s="21" t="n">
        <f aca="false">IF($A63="",0,N(INDEX('In gebruik'!$J:$J,ROW()+(-3))))</f>
        <v>0</v>
      </c>
      <c r="G63" s="21" t="n">
        <f aca="false">IF($A63="",0,N(INDEX('In gebruik'!$K:$K,ROW()+(-3))))</f>
        <v>0</v>
      </c>
      <c r="H63" s="12" t="n">
        <f aca="false">IF(G63&gt;0,F63+G63-1,0)</f>
        <v>0</v>
      </c>
      <c r="I63" s="12" t="n">
        <f aca="false">IF($A63="",0,IF(N(INDEX('In gebruik'!$W:$W,ROW()+(-3)))&gt;0,N(INDEX('In gebruik'!$W:$W,ROW()+(-3))),IF(G63&gt;0,MAX(F63+G63,p_Start),0)))</f>
        <v>0</v>
      </c>
      <c r="J63" s="22" t="str">
        <f aca="false">IF($A63="","",IF(AND(G63&gt;0,F63+G63&lt;p_Start),"Over levensduur",IF(AND(I63&gt;0,I63&lt;=p_Start+3),"In begrotingsperiode","")))</f>
        <v/>
      </c>
      <c r="K63" s="23" t="n">
        <f aca="false">IF($E63="Lease-koop",p_Aanbet,0)</f>
        <v>0</v>
      </c>
      <c r="L63" s="23" t="n">
        <f aca="false">IF($E63="Lease-koop",p_Belet,0)</f>
        <v>0</v>
      </c>
      <c r="M63" s="23" t="n">
        <f aca="false">IF($E63="Lease-koop",p_Opbouw,0)</f>
        <v>0</v>
      </c>
      <c r="N63" s="23" t="n">
        <f aca="false">IF($E63="Lease-koop",p_Slot,0)</f>
        <v>0</v>
      </c>
      <c r="O63" s="12" t="n">
        <f aca="false">IF($E63="Lease-koop",I63+p_SlotJr,0)</f>
        <v>0</v>
      </c>
      <c r="P63" s="23" t="n">
        <f aca="false">IF($E63="Koop",N(INDEX('In gebruik'!$V:$V,ROW()+(-3))),0)</f>
        <v>0</v>
      </c>
      <c r="Q63" s="23" t="n">
        <f aca="false">K63+L63+M63+N63+P63</f>
        <v>0</v>
      </c>
      <c r="R63" s="12" t="n">
        <f aca="false">IF($E63="Lease-koop",p_AfschrLK,IF($E63="Koop",G63,0))</f>
        <v>0</v>
      </c>
      <c r="S63" s="23" t="n">
        <f aca="false">IF(R63&gt;0,Q63/R63,0)</f>
        <v>0</v>
      </c>
      <c r="T63" s="12" t="n">
        <f aca="false">IF($E63="Lease-koop",O63+1,IF($E63="Koop",I63+1,0))</f>
        <v>0</v>
      </c>
      <c r="U63" s="23" t="n">
        <f aca="false">IF($E63="Lease-koop",p_Lease,0)</f>
        <v>0</v>
      </c>
      <c r="V63" s="24" t="n">
        <f aca="false">IF($A63="",0,N(INDEX('In gebruik'!$R:$R,ROW()+(-3))))</f>
        <v>0</v>
      </c>
      <c r="W63" s="24" t="n">
        <f aca="false">IF($A63="",0,N(INDEX('In gebruik'!$S:$S,ROW()+(-3))))</f>
        <v>0</v>
      </c>
      <c r="X63" s="21" t="n">
        <f aca="false">IF(W63&gt;0,N(INDEX('In gebruik'!$T:$T,ROW()+(-3))),0)</f>
        <v>0</v>
      </c>
      <c r="Y63" s="24" t="n">
        <f aca="false">IF(W63&gt;0,IF(N(INDEX('In gebruik'!$P:$P,ROW()+(-3)))&gt;0,N(INDEX('In gebruik'!$P:$P,ROW()+(-3))),p_Lease),0)</f>
        <v>0</v>
      </c>
      <c r="AA63" s="23" t="n">
        <f aca="false">IF($Q63+$W63=0,0,IF(AA$7=$I63,$K63+$L63+$M63+$P63,0)+IF(AA$7=$O63,$N63,0)+IF(AA$7=$X63,$W63,0))</f>
        <v>0</v>
      </c>
      <c r="AB63" s="23" t="n">
        <f aca="false">IF($Q63+$W63=0,0,IF(AB$7=$I63,$K63+$L63+$M63+$P63,0)+IF(AB$7=$O63,$N63,0)+IF(AB$7=$X63,$W63,0))</f>
        <v>0</v>
      </c>
      <c r="AC63" s="23" t="n">
        <f aca="false">IF($Q63+$W63=0,0,IF(AC$7=$I63,$K63+$L63+$M63+$P63,0)+IF(AC$7=$O63,$N63,0)+IF(AC$7=$X63,$W63,0))</f>
        <v>0</v>
      </c>
      <c r="AD63" s="23" t="n">
        <f aca="false">IF($Q63+$W63=0,0,IF(AD$7=$I63,$K63+$L63+$M63+$P63,0)+IF(AD$7=$O63,$N63,0)+IF(AD$7=$X63,$W63,0))</f>
        <v>0</v>
      </c>
      <c r="AE63" s="23" t="n">
        <f aca="false">IF($Q63+$W63=0,0,IF(AE$7=$I63,$K63+$L63+$M63+$P63,0)+IF(AE$7=$O63,$N63,0)+IF(AE$7=$X63,$W63,0))</f>
        <v>0</v>
      </c>
      <c r="AF63" s="23" t="n">
        <f aca="false">IF($Q63+$W63=0,0,IF(AF$7=$I63,$K63+$L63+$M63+$P63,0)+IF(AF$7=$O63,$N63,0)+IF(AF$7=$X63,$W63,0))</f>
        <v>0</v>
      </c>
      <c r="AG63" s="23" t="n">
        <f aca="false">IF($Q63+$W63=0,0,IF(AG$7=$I63,$K63+$L63+$M63+$P63,0)+IF(AG$7=$O63,$N63,0)+IF(AG$7=$X63,$W63,0))</f>
        <v>0</v>
      </c>
      <c r="AH63" s="23" t="n">
        <f aca="false">IF($Q63+$W63=0,0,IF(AH$7=$I63,$K63+$L63+$M63+$P63,0)+IF(AH$7=$O63,$N63,0)+IF(AH$7=$X63,$W63,0))</f>
        <v>0</v>
      </c>
      <c r="AJ63" s="23" t="n">
        <f aca="false">IF(AND($S63&gt;0,AJ$7&gt;=$T63,AJ$7&lt;$T63+$R63),$S63,0)+IF(AND($W63&gt;0,AJ$7&gt;$X63,AJ$7&lt;=$X63+p_AfschrLK),($V63+$W63)/p_AfschrLK,0)</f>
        <v>0</v>
      </c>
      <c r="AK63" s="23" t="n">
        <f aca="false">IF(AND($S63&gt;0,AK$7&gt;=$T63,AK$7&lt;$T63+$R63),$S63,0)+IF(AND($W63&gt;0,AK$7&gt;$X63,AK$7&lt;=$X63+p_AfschrLK),($V63+$W63)/p_AfschrLK,0)</f>
        <v>0</v>
      </c>
      <c r="AL63" s="23" t="n">
        <f aca="false">IF(AND($S63&gt;0,AL$7&gt;=$T63,AL$7&lt;$T63+$R63),$S63,0)+IF(AND($W63&gt;0,AL$7&gt;$X63,AL$7&lt;=$X63+p_AfschrLK),($V63+$W63)/p_AfschrLK,0)</f>
        <v>0</v>
      </c>
      <c r="AM63" s="23" t="n">
        <f aca="false">IF(AND($S63&gt;0,AM$7&gt;=$T63,AM$7&lt;$T63+$R63),$S63,0)+IF(AND($W63&gt;0,AM$7&gt;$X63,AM$7&lt;=$X63+p_AfschrLK),($V63+$W63)/p_AfschrLK,0)</f>
        <v>0</v>
      </c>
      <c r="AN63" s="23" t="n">
        <f aca="false">IF(AND($S63&gt;0,AN$7&gt;=$T63,AN$7&lt;$T63+$R63),$S63,0)+IF(AND($W63&gt;0,AN$7&gt;$X63,AN$7&lt;=$X63+p_AfschrLK),($V63+$W63)/p_AfschrLK,0)</f>
        <v>0</v>
      </c>
      <c r="AO63" s="23" t="n">
        <f aca="false">IF(AND($S63&gt;0,AO$7&gt;=$T63,AO$7&lt;$T63+$R63),$S63,0)+IF(AND($W63&gt;0,AO$7&gt;$X63,AO$7&lt;=$X63+p_AfschrLK),($V63+$W63)/p_AfschrLK,0)</f>
        <v>0</v>
      </c>
      <c r="AP63" s="23" t="n">
        <f aca="false">IF(AND($S63&gt;0,AP$7&gt;=$T63,AP$7&lt;$T63+$R63),$S63,0)+IF(AND($W63&gt;0,AP$7&gt;$X63,AP$7&lt;=$X63+p_AfschrLK),($V63+$W63)/p_AfschrLK,0)</f>
        <v>0</v>
      </c>
      <c r="AQ63" s="23" t="n">
        <f aca="false">IF(AND($S63&gt;0,AQ$7&gt;=$T63,AQ$7&lt;$T63+$R63),$S63,0)+IF(AND($W63&gt;0,AQ$7&gt;$X63,AQ$7&lt;=$X63+p_AfschrLK),($V63+$W63)/p_AfschrLK,0)</f>
        <v>0</v>
      </c>
    </row>
    <row r="64" customFormat="false" ht="15" hidden="false" customHeight="false" outlineLevel="0" collapsed="false">
      <c r="A64" s="20" t="str">
        <f aca="false">IF(INDEX('In gebruik'!$A:$A,ROW()+(-3))="","",INDEX('In gebruik'!$A:$A,ROW()+(-3)))</f>
        <v/>
      </c>
      <c r="B64" s="20" t="str">
        <f aca="false">IF($A64="","",INDEX('In gebruik'!$B:$B,ROW()+(-3))&amp;"")</f>
        <v/>
      </c>
      <c r="C64" s="20" t="str">
        <f aca="false">IF($A64="","",INDEX('In gebruik'!$H:$H,ROW()+(-3))&amp;"")</f>
        <v/>
      </c>
      <c r="D64" s="20" t="str">
        <f aca="false">IF($A64="","",INDEX('In gebruik'!$G:$G,ROW()+(-3))&amp;"")</f>
        <v/>
      </c>
      <c r="E64" s="20" t="str">
        <f aca="false">IF($A64="","",INDEX('In gebruik'!$U:$U,ROW()+(-3))&amp;"")</f>
        <v/>
      </c>
      <c r="F64" s="21" t="n">
        <f aca="false">IF($A64="",0,N(INDEX('In gebruik'!$J:$J,ROW()+(-3))))</f>
        <v>0</v>
      </c>
      <c r="G64" s="21" t="n">
        <f aca="false">IF($A64="",0,N(INDEX('In gebruik'!$K:$K,ROW()+(-3))))</f>
        <v>0</v>
      </c>
      <c r="H64" s="12" t="n">
        <f aca="false">IF(G64&gt;0,F64+G64-1,0)</f>
        <v>0</v>
      </c>
      <c r="I64" s="12" t="n">
        <f aca="false">IF($A64="",0,IF(N(INDEX('In gebruik'!$W:$W,ROW()+(-3)))&gt;0,N(INDEX('In gebruik'!$W:$W,ROW()+(-3))),IF(G64&gt;0,MAX(F64+G64,p_Start),0)))</f>
        <v>0</v>
      </c>
      <c r="J64" s="22" t="str">
        <f aca="false">IF($A64="","",IF(AND(G64&gt;0,F64+G64&lt;p_Start),"Over levensduur",IF(AND(I64&gt;0,I64&lt;=p_Start+3),"In begrotingsperiode","")))</f>
        <v/>
      </c>
      <c r="K64" s="23" t="n">
        <f aca="false">IF($E64="Lease-koop",p_Aanbet,0)</f>
        <v>0</v>
      </c>
      <c r="L64" s="23" t="n">
        <f aca="false">IF($E64="Lease-koop",p_Belet,0)</f>
        <v>0</v>
      </c>
      <c r="M64" s="23" t="n">
        <f aca="false">IF($E64="Lease-koop",p_Opbouw,0)</f>
        <v>0</v>
      </c>
      <c r="N64" s="23" t="n">
        <f aca="false">IF($E64="Lease-koop",p_Slot,0)</f>
        <v>0</v>
      </c>
      <c r="O64" s="12" t="n">
        <f aca="false">IF($E64="Lease-koop",I64+p_SlotJr,0)</f>
        <v>0</v>
      </c>
      <c r="P64" s="23" t="n">
        <f aca="false">IF($E64="Koop",N(INDEX('In gebruik'!$V:$V,ROW()+(-3))),0)</f>
        <v>0</v>
      </c>
      <c r="Q64" s="23" t="n">
        <f aca="false">K64+L64+M64+N64+P64</f>
        <v>0</v>
      </c>
      <c r="R64" s="12" t="n">
        <f aca="false">IF($E64="Lease-koop",p_AfschrLK,IF($E64="Koop",G64,0))</f>
        <v>0</v>
      </c>
      <c r="S64" s="23" t="n">
        <f aca="false">IF(R64&gt;0,Q64/R64,0)</f>
        <v>0</v>
      </c>
      <c r="T64" s="12" t="n">
        <f aca="false">IF($E64="Lease-koop",O64+1,IF($E64="Koop",I64+1,0))</f>
        <v>0</v>
      </c>
      <c r="U64" s="23" t="n">
        <f aca="false">IF($E64="Lease-koop",p_Lease,0)</f>
        <v>0</v>
      </c>
      <c r="V64" s="24" t="n">
        <f aca="false">IF($A64="",0,N(INDEX('In gebruik'!$R:$R,ROW()+(-3))))</f>
        <v>0</v>
      </c>
      <c r="W64" s="24" t="n">
        <f aca="false">IF($A64="",0,N(INDEX('In gebruik'!$S:$S,ROW()+(-3))))</f>
        <v>0</v>
      </c>
      <c r="X64" s="21" t="n">
        <f aca="false">IF(W64&gt;0,N(INDEX('In gebruik'!$T:$T,ROW()+(-3))),0)</f>
        <v>0</v>
      </c>
      <c r="Y64" s="24" t="n">
        <f aca="false">IF(W64&gt;0,IF(N(INDEX('In gebruik'!$P:$P,ROW()+(-3)))&gt;0,N(INDEX('In gebruik'!$P:$P,ROW()+(-3))),p_Lease),0)</f>
        <v>0</v>
      </c>
      <c r="AA64" s="23" t="n">
        <f aca="false">IF($Q64+$W64=0,0,IF(AA$7=$I64,$K64+$L64+$M64+$P64,0)+IF(AA$7=$O64,$N64,0)+IF(AA$7=$X64,$W64,0))</f>
        <v>0</v>
      </c>
      <c r="AB64" s="23" t="n">
        <f aca="false">IF($Q64+$W64=0,0,IF(AB$7=$I64,$K64+$L64+$M64+$P64,0)+IF(AB$7=$O64,$N64,0)+IF(AB$7=$X64,$W64,0))</f>
        <v>0</v>
      </c>
      <c r="AC64" s="23" t="n">
        <f aca="false">IF($Q64+$W64=0,0,IF(AC$7=$I64,$K64+$L64+$M64+$P64,0)+IF(AC$7=$O64,$N64,0)+IF(AC$7=$X64,$W64,0))</f>
        <v>0</v>
      </c>
      <c r="AD64" s="23" t="n">
        <f aca="false">IF($Q64+$W64=0,0,IF(AD$7=$I64,$K64+$L64+$M64+$P64,0)+IF(AD$7=$O64,$N64,0)+IF(AD$7=$X64,$W64,0))</f>
        <v>0</v>
      </c>
      <c r="AE64" s="23" t="n">
        <f aca="false">IF($Q64+$W64=0,0,IF(AE$7=$I64,$K64+$L64+$M64+$P64,0)+IF(AE$7=$O64,$N64,0)+IF(AE$7=$X64,$W64,0))</f>
        <v>0</v>
      </c>
      <c r="AF64" s="23" t="n">
        <f aca="false">IF($Q64+$W64=0,0,IF(AF$7=$I64,$K64+$L64+$M64+$P64,0)+IF(AF$7=$O64,$N64,0)+IF(AF$7=$X64,$W64,0))</f>
        <v>0</v>
      </c>
      <c r="AG64" s="23" t="n">
        <f aca="false">IF($Q64+$W64=0,0,IF(AG$7=$I64,$K64+$L64+$M64+$P64,0)+IF(AG$7=$O64,$N64,0)+IF(AG$7=$X64,$W64,0))</f>
        <v>0</v>
      </c>
      <c r="AH64" s="23" t="n">
        <f aca="false">IF($Q64+$W64=0,0,IF(AH$7=$I64,$K64+$L64+$M64+$P64,0)+IF(AH$7=$O64,$N64,0)+IF(AH$7=$X64,$W64,0))</f>
        <v>0</v>
      </c>
      <c r="AJ64" s="23" t="n">
        <f aca="false">IF(AND($S64&gt;0,AJ$7&gt;=$T64,AJ$7&lt;$T64+$R64),$S64,0)+IF(AND($W64&gt;0,AJ$7&gt;$X64,AJ$7&lt;=$X64+p_AfschrLK),($V64+$W64)/p_AfschrLK,0)</f>
        <v>0</v>
      </c>
      <c r="AK64" s="23" t="n">
        <f aca="false">IF(AND($S64&gt;0,AK$7&gt;=$T64,AK$7&lt;$T64+$R64),$S64,0)+IF(AND($W64&gt;0,AK$7&gt;$X64,AK$7&lt;=$X64+p_AfschrLK),($V64+$W64)/p_AfschrLK,0)</f>
        <v>0</v>
      </c>
      <c r="AL64" s="23" t="n">
        <f aca="false">IF(AND($S64&gt;0,AL$7&gt;=$T64,AL$7&lt;$T64+$R64),$S64,0)+IF(AND($W64&gt;0,AL$7&gt;$X64,AL$7&lt;=$X64+p_AfschrLK),($V64+$W64)/p_AfschrLK,0)</f>
        <v>0</v>
      </c>
      <c r="AM64" s="23" t="n">
        <f aca="false">IF(AND($S64&gt;0,AM$7&gt;=$T64,AM$7&lt;$T64+$R64),$S64,0)+IF(AND($W64&gt;0,AM$7&gt;$X64,AM$7&lt;=$X64+p_AfschrLK),($V64+$W64)/p_AfschrLK,0)</f>
        <v>0</v>
      </c>
      <c r="AN64" s="23" t="n">
        <f aca="false">IF(AND($S64&gt;0,AN$7&gt;=$T64,AN$7&lt;$T64+$R64),$S64,0)+IF(AND($W64&gt;0,AN$7&gt;$X64,AN$7&lt;=$X64+p_AfschrLK),($V64+$W64)/p_AfschrLK,0)</f>
        <v>0</v>
      </c>
      <c r="AO64" s="23" t="n">
        <f aca="false">IF(AND($S64&gt;0,AO$7&gt;=$T64,AO$7&lt;$T64+$R64),$S64,0)+IF(AND($W64&gt;0,AO$7&gt;$X64,AO$7&lt;=$X64+p_AfschrLK),($V64+$W64)/p_AfschrLK,0)</f>
        <v>0</v>
      </c>
      <c r="AP64" s="23" t="n">
        <f aca="false">IF(AND($S64&gt;0,AP$7&gt;=$T64,AP$7&lt;$T64+$R64),$S64,0)+IF(AND($W64&gt;0,AP$7&gt;$X64,AP$7&lt;=$X64+p_AfschrLK),($V64+$W64)/p_AfschrLK,0)</f>
        <v>0</v>
      </c>
      <c r="AQ64" s="23" t="n">
        <f aca="false">IF(AND($S64&gt;0,AQ$7&gt;=$T64,AQ$7&lt;$T64+$R64),$S64,0)+IF(AND($W64&gt;0,AQ$7&gt;$X64,AQ$7&lt;=$X64+p_AfschrLK),($V64+$W64)/p_AfschrLK,0)</f>
        <v>0</v>
      </c>
    </row>
    <row r="65" customFormat="false" ht="15" hidden="false" customHeight="false" outlineLevel="0" collapsed="false">
      <c r="A65" s="20" t="str">
        <f aca="false">IF(INDEX('In gebruik'!$A:$A,ROW()+(-3))="","",INDEX('In gebruik'!$A:$A,ROW()+(-3)))</f>
        <v/>
      </c>
      <c r="B65" s="20" t="str">
        <f aca="false">IF($A65="","",INDEX('In gebruik'!$B:$B,ROW()+(-3))&amp;"")</f>
        <v/>
      </c>
      <c r="C65" s="20" t="str">
        <f aca="false">IF($A65="","",INDEX('In gebruik'!$H:$H,ROW()+(-3))&amp;"")</f>
        <v/>
      </c>
      <c r="D65" s="20" t="str">
        <f aca="false">IF($A65="","",INDEX('In gebruik'!$G:$G,ROW()+(-3))&amp;"")</f>
        <v/>
      </c>
      <c r="E65" s="20" t="str">
        <f aca="false">IF($A65="","",INDEX('In gebruik'!$U:$U,ROW()+(-3))&amp;"")</f>
        <v/>
      </c>
      <c r="F65" s="21" t="n">
        <f aca="false">IF($A65="",0,N(INDEX('In gebruik'!$J:$J,ROW()+(-3))))</f>
        <v>0</v>
      </c>
      <c r="G65" s="21" t="n">
        <f aca="false">IF($A65="",0,N(INDEX('In gebruik'!$K:$K,ROW()+(-3))))</f>
        <v>0</v>
      </c>
      <c r="H65" s="12" t="n">
        <f aca="false">IF(G65&gt;0,F65+G65-1,0)</f>
        <v>0</v>
      </c>
      <c r="I65" s="12" t="n">
        <f aca="false">IF($A65="",0,IF(N(INDEX('In gebruik'!$W:$W,ROW()+(-3)))&gt;0,N(INDEX('In gebruik'!$W:$W,ROW()+(-3))),IF(G65&gt;0,MAX(F65+G65,p_Start),0)))</f>
        <v>0</v>
      </c>
      <c r="J65" s="22" t="str">
        <f aca="false">IF($A65="","",IF(AND(G65&gt;0,F65+G65&lt;p_Start),"Over levensduur",IF(AND(I65&gt;0,I65&lt;=p_Start+3),"In begrotingsperiode","")))</f>
        <v/>
      </c>
      <c r="K65" s="23" t="n">
        <f aca="false">IF($E65="Lease-koop",p_Aanbet,0)</f>
        <v>0</v>
      </c>
      <c r="L65" s="23" t="n">
        <f aca="false">IF($E65="Lease-koop",p_Belet,0)</f>
        <v>0</v>
      </c>
      <c r="M65" s="23" t="n">
        <f aca="false">IF($E65="Lease-koop",p_Opbouw,0)</f>
        <v>0</v>
      </c>
      <c r="N65" s="23" t="n">
        <f aca="false">IF($E65="Lease-koop",p_Slot,0)</f>
        <v>0</v>
      </c>
      <c r="O65" s="12" t="n">
        <f aca="false">IF($E65="Lease-koop",I65+p_SlotJr,0)</f>
        <v>0</v>
      </c>
      <c r="P65" s="23" t="n">
        <f aca="false">IF($E65="Koop",N(INDEX('In gebruik'!$V:$V,ROW()+(-3))),0)</f>
        <v>0</v>
      </c>
      <c r="Q65" s="23" t="n">
        <f aca="false">K65+L65+M65+N65+P65</f>
        <v>0</v>
      </c>
      <c r="R65" s="12" t="n">
        <f aca="false">IF($E65="Lease-koop",p_AfschrLK,IF($E65="Koop",G65,0))</f>
        <v>0</v>
      </c>
      <c r="S65" s="23" t="n">
        <f aca="false">IF(R65&gt;0,Q65/R65,0)</f>
        <v>0</v>
      </c>
      <c r="T65" s="12" t="n">
        <f aca="false">IF($E65="Lease-koop",O65+1,IF($E65="Koop",I65+1,0))</f>
        <v>0</v>
      </c>
      <c r="U65" s="23" t="n">
        <f aca="false">IF($E65="Lease-koop",p_Lease,0)</f>
        <v>0</v>
      </c>
      <c r="V65" s="24" t="n">
        <f aca="false">IF($A65="",0,N(INDEX('In gebruik'!$R:$R,ROW()+(-3))))</f>
        <v>0</v>
      </c>
      <c r="W65" s="24" t="n">
        <f aca="false">IF($A65="",0,N(INDEX('In gebruik'!$S:$S,ROW()+(-3))))</f>
        <v>0</v>
      </c>
      <c r="X65" s="21" t="n">
        <f aca="false">IF(W65&gt;0,N(INDEX('In gebruik'!$T:$T,ROW()+(-3))),0)</f>
        <v>0</v>
      </c>
      <c r="Y65" s="24" t="n">
        <f aca="false">IF(W65&gt;0,IF(N(INDEX('In gebruik'!$P:$P,ROW()+(-3)))&gt;0,N(INDEX('In gebruik'!$P:$P,ROW()+(-3))),p_Lease),0)</f>
        <v>0</v>
      </c>
      <c r="AA65" s="23" t="n">
        <f aca="false">IF($Q65+$W65=0,0,IF(AA$7=$I65,$K65+$L65+$M65+$P65,0)+IF(AA$7=$O65,$N65,0)+IF(AA$7=$X65,$W65,0))</f>
        <v>0</v>
      </c>
      <c r="AB65" s="23" t="n">
        <f aca="false">IF($Q65+$W65=0,0,IF(AB$7=$I65,$K65+$L65+$M65+$P65,0)+IF(AB$7=$O65,$N65,0)+IF(AB$7=$X65,$W65,0))</f>
        <v>0</v>
      </c>
      <c r="AC65" s="23" t="n">
        <f aca="false">IF($Q65+$W65=0,0,IF(AC$7=$I65,$K65+$L65+$M65+$P65,0)+IF(AC$7=$O65,$N65,0)+IF(AC$7=$X65,$W65,0))</f>
        <v>0</v>
      </c>
      <c r="AD65" s="23" t="n">
        <f aca="false">IF($Q65+$W65=0,0,IF(AD$7=$I65,$K65+$L65+$M65+$P65,0)+IF(AD$7=$O65,$N65,0)+IF(AD$7=$X65,$W65,0))</f>
        <v>0</v>
      </c>
      <c r="AE65" s="23" t="n">
        <f aca="false">IF($Q65+$W65=0,0,IF(AE$7=$I65,$K65+$L65+$M65+$P65,0)+IF(AE$7=$O65,$N65,0)+IF(AE$7=$X65,$W65,0))</f>
        <v>0</v>
      </c>
      <c r="AF65" s="23" t="n">
        <f aca="false">IF($Q65+$W65=0,0,IF(AF$7=$I65,$K65+$L65+$M65+$P65,0)+IF(AF$7=$O65,$N65,0)+IF(AF$7=$X65,$W65,0))</f>
        <v>0</v>
      </c>
      <c r="AG65" s="23" t="n">
        <f aca="false">IF($Q65+$W65=0,0,IF(AG$7=$I65,$K65+$L65+$M65+$P65,0)+IF(AG$7=$O65,$N65,0)+IF(AG$7=$X65,$W65,0))</f>
        <v>0</v>
      </c>
      <c r="AH65" s="23" t="n">
        <f aca="false">IF($Q65+$W65=0,0,IF(AH$7=$I65,$K65+$L65+$M65+$P65,0)+IF(AH$7=$O65,$N65,0)+IF(AH$7=$X65,$W65,0))</f>
        <v>0</v>
      </c>
      <c r="AJ65" s="23" t="n">
        <f aca="false">IF(AND($S65&gt;0,AJ$7&gt;=$T65,AJ$7&lt;$T65+$R65),$S65,0)+IF(AND($W65&gt;0,AJ$7&gt;$X65,AJ$7&lt;=$X65+p_AfschrLK),($V65+$W65)/p_AfschrLK,0)</f>
        <v>0</v>
      </c>
      <c r="AK65" s="23" t="n">
        <f aca="false">IF(AND($S65&gt;0,AK$7&gt;=$T65,AK$7&lt;$T65+$R65),$S65,0)+IF(AND($W65&gt;0,AK$7&gt;$X65,AK$7&lt;=$X65+p_AfschrLK),($V65+$W65)/p_AfschrLK,0)</f>
        <v>0</v>
      </c>
      <c r="AL65" s="23" t="n">
        <f aca="false">IF(AND($S65&gt;0,AL$7&gt;=$T65,AL$7&lt;$T65+$R65),$S65,0)+IF(AND($W65&gt;0,AL$7&gt;$X65,AL$7&lt;=$X65+p_AfschrLK),($V65+$W65)/p_AfschrLK,0)</f>
        <v>0</v>
      </c>
      <c r="AM65" s="23" t="n">
        <f aca="false">IF(AND($S65&gt;0,AM$7&gt;=$T65,AM$7&lt;$T65+$R65),$S65,0)+IF(AND($W65&gt;0,AM$7&gt;$X65,AM$7&lt;=$X65+p_AfschrLK),($V65+$W65)/p_AfschrLK,0)</f>
        <v>0</v>
      </c>
      <c r="AN65" s="23" t="n">
        <f aca="false">IF(AND($S65&gt;0,AN$7&gt;=$T65,AN$7&lt;$T65+$R65),$S65,0)+IF(AND($W65&gt;0,AN$7&gt;$X65,AN$7&lt;=$X65+p_AfschrLK),($V65+$W65)/p_AfschrLK,0)</f>
        <v>0</v>
      </c>
      <c r="AO65" s="23" t="n">
        <f aca="false">IF(AND($S65&gt;0,AO$7&gt;=$T65,AO$7&lt;$T65+$R65),$S65,0)+IF(AND($W65&gt;0,AO$7&gt;$X65,AO$7&lt;=$X65+p_AfschrLK),($V65+$W65)/p_AfschrLK,0)</f>
        <v>0</v>
      </c>
      <c r="AP65" s="23" t="n">
        <f aca="false">IF(AND($S65&gt;0,AP$7&gt;=$T65,AP$7&lt;$T65+$R65),$S65,0)+IF(AND($W65&gt;0,AP$7&gt;$X65,AP$7&lt;=$X65+p_AfschrLK),($V65+$W65)/p_AfschrLK,0)</f>
        <v>0</v>
      </c>
      <c r="AQ65" s="23" t="n">
        <f aca="false">IF(AND($S65&gt;0,AQ$7&gt;=$T65,AQ$7&lt;$T65+$R65),$S65,0)+IF(AND($W65&gt;0,AQ$7&gt;$X65,AQ$7&lt;=$X65+p_AfschrLK),($V65+$W65)/p_AfschrLK,0)</f>
        <v>0</v>
      </c>
    </row>
    <row r="66" customFormat="false" ht="15" hidden="false" customHeight="false" outlineLevel="0" collapsed="false">
      <c r="A66" s="20" t="str">
        <f aca="false">IF(INDEX('In gebruik'!$A:$A,ROW()+(-3))="","",INDEX('In gebruik'!$A:$A,ROW()+(-3)))</f>
        <v/>
      </c>
      <c r="B66" s="20" t="str">
        <f aca="false">IF($A66="","",INDEX('In gebruik'!$B:$B,ROW()+(-3))&amp;"")</f>
        <v/>
      </c>
      <c r="C66" s="20" t="str">
        <f aca="false">IF($A66="","",INDEX('In gebruik'!$H:$H,ROW()+(-3))&amp;"")</f>
        <v/>
      </c>
      <c r="D66" s="20" t="str">
        <f aca="false">IF($A66="","",INDEX('In gebruik'!$G:$G,ROW()+(-3))&amp;"")</f>
        <v/>
      </c>
      <c r="E66" s="20" t="str">
        <f aca="false">IF($A66="","",INDEX('In gebruik'!$U:$U,ROW()+(-3))&amp;"")</f>
        <v/>
      </c>
      <c r="F66" s="21" t="n">
        <f aca="false">IF($A66="",0,N(INDEX('In gebruik'!$J:$J,ROW()+(-3))))</f>
        <v>0</v>
      </c>
      <c r="G66" s="21" t="n">
        <f aca="false">IF($A66="",0,N(INDEX('In gebruik'!$K:$K,ROW()+(-3))))</f>
        <v>0</v>
      </c>
      <c r="H66" s="12" t="n">
        <f aca="false">IF(G66&gt;0,F66+G66-1,0)</f>
        <v>0</v>
      </c>
      <c r="I66" s="12" t="n">
        <f aca="false">IF($A66="",0,IF(N(INDEX('In gebruik'!$W:$W,ROW()+(-3)))&gt;0,N(INDEX('In gebruik'!$W:$W,ROW()+(-3))),IF(G66&gt;0,MAX(F66+G66,p_Start),0)))</f>
        <v>0</v>
      </c>
      <c r="J66" s="22" t="str">
        <f aca="false">IF($A66="","",IF(AND(G66&gt;0,F66+G66&lt;p_Start),"Over levensduur",IF(AND(I66&gt;0,I66&lt;=p_Start+3),"In begrotingsperiode","")))</f>
        <v/>
      </c>
      <c r="K66" s="23" t="n">
        <f aca="false">IF($E66="Lease-koop",p_Aanbet,0)</f>
        <v>0</v>
      </c>
      <c r="L66" s="23" t="n">
        <f aca="false">IF($E66="Lease-koop",p_Belet,0)</f>
        <v>0</v>
      </c>
      <c r="M66" s="23" t="n">
        <f aca="false">IF($E66="Lease-koop",p_Opbouw,0)</f>
        <v>0</v>
      </c>
      <c r="N66" s="23" t="n">
        <f aca="false">IF($E66="Lease-koop",p_Slot,0)</f>
        <v>0</v>
      </c>
      <c r="O66" s="12" t="n">
        <f aca="false">IF($E66="Lease-koop",I66+p_SlotJr,0)</f>
        <v>0</v>
      </c>
      <c r="P66" s="23" t="n">
        <f aca="false">IF($E66="Koop",N(INDEX('In gebruik'!$V:$V,ROW()+(-3))),0)</f>
        <v>0</v>
      </c>
      <c r="Q66" s="23" t="n">
        <f aca="false">K66+L66+M66+N66+P66</f>
        <v>0</v>
      </c>
      <c r="R66" s="12" t="n">
        <f aca="false">IF($E66="Lease-koop",p_AfschrLK,IF($E66="Koop",G66,0))</f>
        <v>0</v>
      </c>
      <c r="S66" s="23" t="n">
        <f aca="false">IF(R66&gt;0,Q66/R66,0)</f>
        <v>0</v>
      </c>
      <c r="T66" s="12" t="n">
        <f aca="false">IF($E66="Lease-koop",O66+1,IF($E66="Koop",I66+1,0))</f>
        <v>0</v>
      </c>
      <c r="U66" s="23" t="n">
        <f aca="false">IF($E66="Lease-koop",p_Lease,0)</f>
        <v>0</v>
      </c>
      <c r="V66" s="24" t="n">
        <f aca="false">IF($A66="",0,N(INDEX('In gebruik'!$R:$R,ROW()+(-3))))</f>
        <v>0</v>
      </c>
      <c r="W66" s="24" t="n">
        <f aca="false">IF($A66="",0,N(INDEX('In gebruik'!$S:$S,ROW()+(-3))))</f>
        <v>0</v>
      </c>
      <c r="X66" s="21" t="n">
        <f aca="false">IF(W66&gt;0,N(INDEX('In gebruik'!$T:$T,ROW()+(-3))),0)</f>
        <v>0</v>
      </c>
      <c r="Y66" s="24" t="n">
        <f aca="false">IF(W66&gt;0,IF(N(INDEX('In gebruik'!$P:$P,ROW()+(-3)))&gt;0,N(INDEX('In gebruik'!$P:$P,ROW()+(-3))),p_Lease),0)</f>
        <v>0</v>
      </c>
      <c r="AA66" s="23" t="n">
        <f aca="false">IF($Q66+$W66=0,0,IF(AA$7=$I66,$K66+$L66+$M66+$P66,0)+IF(AA$7=$O66,$N66,0)+IF(AA$7=$X66,$W66,0))</f>
        <v>0</v>
      </c>
      <c r="AB66" s="23" t="n">
        <f aca="false">IF($Q66+$W66=0,0,IF(AB$7=$I66,$K66+$L66+$M66+$P66,0)+IF(AB$7=$O66,$N66,0)+IF(AB$7=$X66,$W66,0))</f>
        <v>0</v>
      </c>
      <c r="AC66" s="23" t="n">
        <f aca="false">IF($Q66+$W66=0,0,IF(AC$7=$I66,$K66+$L66+$M66+$P66,0)+IF(AC$7=$O66,$N66,0)+IF(AC$7=$X66,$W66,0))</f>
        <v>0</v>
      </c>
      <c r="AD66" s="23" t="n">
        <f aca="false">IF($Q66+$W66=0,0,IF(AD$7=$I66,$K66+$L66+$M66+$P66,0)+IF(AD$7=$O66,$N66,0)+IF(AD$7=$X66,$W66,0))</f>
        <v>0</v>
      </c>
      <c r="AE66" s="23" t="n">
        <f aca="false">IF($Q66+$W66=0,0,IF(AE$7=$I66,$K66+$L66+$M66+$P66,0)+IF(AE$7=$O66,$N66,0)+IF(AE$7=$X66,$W66,0))</f>
        <v>0</v>
      </c>
      <c r="AF66" s="23" t="n">
        <f aca="false">IF($Q66+$W66=0,0,IF(AF$7=$I66,$K66+$L66+$M66+$P66,0)+IF(AF$7=$O66,$N66,0)+IF(AF$7=$X66,$W66,0))</f>
        <v>0</v>
      </c>
      <c r="AG66" s="23" t="n">
        <f aca="false">IF($Q66+$W66=0,0,IF(AG$7=$I66,$K66+$L66+$M66+$P66,0)+IF(AG$7=$O66,$N66,0)+IF(AG$7=$X66,$W66,0))</f>
        <v>0</v>
      </c>
      <c r="AH66" s="23" t="n">
        <f aca="false">IF($Q66+$W66=0,0,IF(AH$7=$I66,$K66+$L66+$M66+$P66,0)+IF(AH$7=$O66,$N66,0)+IF(AH$7=$X66,$W66,0))</f>
        <v>0</v>
      </c>
      <c r="AJ66" s="23" t="n">
        <f aca="false">IF(AND($S66&gt;0,AJ$7&gt;=$T66,AJ$7&lt;$T66+$R66),$S66,0)+IF(AND($W66&gt;0,AJ$7&gt;$X66,AJ$7&lt;=$X66+p_AfschrLK),($V66+$W66)/p_AfschrLK,0)</f>
        <v>0</v>
      </c>
      <c r="AK66" s="23" t="n">
        <f aca="false">IF(AND($S66&gt;0,AK$7&gt;=$T66,AK$7&lt;$T66+$R66),$S66,0)+IF(AND($W66&gt;0,AK$7&gt;$X66,AK$7&lt;=$X66+p_AfschrLK),($V66+$W66)/p_AfschrLK,0)</f>
        <v>0</v>
      </c>
      <c r="AL66" s="23" t="n">
        <f aca="false">IF(AND($S66&gt;0,AL$7&gt;=$T66,AL$7&lt;$T66+$R66),$S66,0)+IF(AND($W66&gt;0,AL$7&gt;$X66,AL$7&lt;=$X66+p_AfschrLK),($V66+$W66)/p_AfschrLK,0)</f>
        <v>0</v>
      </c>
      <c r="AM66" s="23" t="n">
        <f aca="false">IF(AND($S66&gt;0,AM$7&gt;=$T66,AM$7&lt;$T66+$R66),$S66,0)+IF(AND($W66&gt;0,AM$7&gt;$X66,AM$7&lt;=$X66+p_AfschrLK),($V66+$W66)/p_AfschrLK,0)</f>
        <v>0</v>
      </c>
      <c r="AN66" s="23" t="n">
        <f aca="false">IF(AND($S66&gt;0,AN$7&gt;=$T66,AN$7&lt;$T66+$R66),$S66,0)+IF(AND($W66&gt;0,AN$7&gt;$X66,AN$7&lt;=$X66+p_AfschrLK),($V66+$W66)/p_AfschrLK,0)</f>
        <v>0</v>
      </c>
      <c r="AO66" s="23" t="n">
        <f aca="false">IF(AND($S66&gt;0,AO$7&gt;=$T66,AO$7&lt;$T66+$R66),$S66,0)+IF(AND($W66&gt;0,AO$7&gt;$X66,AO$7&lt;=$X66+p_AfschrLK),($V66+$W66)/p_AfschrLK,0)</f>
        <v>0</v>
      </c>
      <c r="AP66" s="23" t="n">
        <f aca="false">IF(AND($S66&gt;0,AP$7&gt;=$T66,AP$7&lt;$T66+$R66),$S66,0)+IF(AND($W66&gt;0,AP$7&gt;$X66,AP$7&lt;=$X66+p_AfschrLK),($V66+$W66)/p_AfschrLK,0)</f>
        <v>0</v>
      </c>
      <c r="AQ66" s="23" t="n">
        <f aca="false">IF(AND($S66&gt;0,AQ$7&gt;=$T66,AQ$7&lt;$T66+$R66),$S66,0)+IF(AND($W66&gt;0,AQ$7&gt;$X66,AQ$7&lt;=$X66+p_AfschrLK),($V66+$W66)/p_AfschrLK,0)</f>
        <v>0</v>
      </c>
    </row>
    <row r="67" customFormat="false" ht="15" hidden="false" customHeight="false" outlineLevel="0" collapsed="false">
      <c r="A67" s="20" t="str">
        <f aca="false">IF(INDEX('In gebruik'!$A:$A,ROW()+(-3))="","",INDEX('In gebruik'!$A:$A,ROW()+(-3)))</f>
        <v/>
      </c>
      <c r="B67" s="20" t="str">
        <f aca="false">IF($A67="","",INDEX('In gebruik'!$B:$B,ROW()+(-3))&amp;"")</f>
        <v/>
      </c>
      <c r="C67" s="20" t="str">
        <f aca="false">IF($A67="","",INDEX('In gebruik'!$H:$H,ROW()+(-3))&amp;"")</f>
        <v/>
      </c>
      <c r="D67" s="20" t="str">
        <f aca="false">IF($A67="","",INDEX('In gebruik'!$G:$G,ROW()+(-3))&amp;"")</f>
        <v/>
      </c>
      <c r="E67" s="20" t="str">
        <f aca="false">IF($A67="","",INDEX('In gebruik'!$U:$U,ROW()+(-3))&amp;"")</f>
        <v/>
      </c>
      <c r="F67" s="21" t="n">
        <f aca="false">IF($A67="",0,N(INDEX('In gebruik'!$J:$J,ROW()+(-3))))</f>
        <v>0</v>
      </c>
      <c r="G67" s="21" t="n">
        <f aca="false">IF($A67="",0,N(INDEX('In gebruik'!$K:$K,ROW()+(-3))))</f>
        <v>0</v>
      </c>
      <c r="H67" s="12" t="n">
        <f aca="false">IF(G67&gt;0,F67+G67-1,0)</f>
        <v>0</v>
      </c>
      <c r="I67" s="12" t="n">
        <f aca="false">IF($A67="",0,IF(N(INDEX('In gebruik'!$W:$W,ROW()+(-3)))&gt;0,N(INDEX('In gebruik'!$W:$W,ROW()+(-3))),IF(G67&gt;0,MAX(F67+G67,p_Start),0)))</f>
        <v>0</v>
      </c>
      <c r="J67" s="22" t="str">
        <f aca="false">IF($A67="","",IF(AND(G67&gt;0,F67+G67&lt;p_Start),"Over levensduur",IF(AND(I67&gt;0,I67&lt;=p_Start+3),"In begrotingsperiode","")))</f>
        <v/>
      </c>
      <c r="K67" s="23" t="n">
        <f aca="false">IF($E67="Lease-koop",p_Aanbet,0)</f>
        <v>0</v>
      </c>
      <c r="L67" s="23" t="n">
        <f aca="false">IF($E67="Lease-koop",p_Belet,0)</f>
        <v>0</v>
      </c>
      <c r="M67" s="23" t="n">
        <f aca="false">IF($E67="Lease-koop",p_Opbouw,0)</f>
        <v>0</v>
      </c>
      <c r="N67" s="23" t="n">
        <f aca="false">IF($E67="Lease-koop",p_Slot,0)</f>
        <v>0</v>
      </c>
      <c r="O67" s="12" t="n">
        <f aca="false">IF($E67="Lease-koop",I67+p_SlotJr,0)</f>
        <v>0</v>
      </c>
      <c r="P67" s="23" t="n">
        <f aca="false">IF($E67="Koop",N(INDEX('In gebruik'!$V:$V,ROW()+(-3))),0)</f>
        <v>0</v>
      </c>
      <c r="Q67" s="23" t="n">
        <f aca="false">K67+L67+M67+N67+P67</f>
        <v>0</v>
      </c>
      <c r="R67" s="12" t="n">
        <f aca="false">IF($E67="Lease-koop",p_AfschrLK,IF($E67="Koop",G67,0))</f>
        <v>0</v>
      </c>
      <c r="S67" s="23" t="n">
        <f aca="false">IF(R67&gt;0,Q67/R67,0)</f>
        <v>0</v>
      </c>
      <c r="T67" s="12" t="n">
        <f aca="false">IF($E67="Lease-koop",O67+1,IF($E67="Koop",I67+1,0))</f>
        <v>0</v>
      </c>
      <c r="U67" s="23" t="n">
        <f aca="false">IF($E67="Lease-koop",p_Lease,0)</f>
        <v>0</v>
      </c>
      <c r="V67" s="24" t="n">
        <f aca="false">IF($A67="",0,N(INDEX('In gebruik'!$R:$R,ROW()+(-3))))</f>
        <v>0</v>
      </c>
      <c r="W67" s="24" t="n">
        <f aca="false">IF($A67="",0,N(INDEX('In gebruik'!$S:$S,ROW()+(-3))))</f>
        <v>0</v>
      </c>
      <c r="X67" s="21" t="n">
        <f aca="false">IF(W67&gt;0,N(INDEX('In gebruik'!$T:$T,ROW()+(-3))),0)</f>
        <v>0</v>
      </c>
      <c r="Y67" s="24" t="n">
        <f aca="false">IF(W67&gt;0,IF(N(INDEX('In gebruik'!$P:$P,ROW()+(-3)))&gt;0,N(INDEX('In gebruik'!$P:$P,ROW()+(-3))),p_Lease),0)</f>
        <v>0</v>
      </c>
      <c r="AA67" s="23" t="n">
        <f aca="false">IF($Q67+$W67=0,0,IF(AA$7=$I67,$K67+$L67+$M67+$P67,0)+IF(AA$7=$O67,$N67,0)+IF(AA$7=$X67,$W67,0))</f>
        <v>0</v>
      </c>
      <c r="AB67" s="23" t="n">
        <f aca="false">IF($Q67+$W67=0,0,IF(AB$7=$I67,$K67+$L67+$M67+$P67,0)+IF(AB$7=$O67,$N67,0)+IF(AB$7=$X67,$W67,0))</f>
        <v>0</v>
      </c>
      <c r="AC67" s="23" t="n">
        <f aca="false">IF($Q67+$W67=0,0,IF(AC$7=$I67,$K67+$L67+$M67+$P67,0)+IF(AC$7=$O67,$N67,0)+IF(AC$7=$X67,$W67,0))</f>
        <v>0</v>
      </c>
      <c r="AD67" s="23" t="n">
        <f aca="false">IF($Q67+$W67=0,0,IF(AD$7=$I67,$K67+$L67+$M67+$P67,0)+IF(AD$7=$O67,$N67,0)+IF(AD$7=$X67,$W67,0))</f>
        <v>0</v>
      </c>
      <c r="AE67" s="23" t="n">
        <f aca="false">IF($Q67+$W67=0,0,IF(AE$7=$I67,$K67+$L67+$M67+$P67,0)+IF(AE$7=$O67,$N67,0)+IF(AE$7=$X67,$W67,0))</f>
        <v>0</v>
      </c>
      <c r="AF67" s="23" t="n">
        <f aca="false">IF($Q67+$W67=0,0,IF(AF$7=$I67,$K67+$L67+$M67+$P67,0)+IF(AF$7=$O67,$N67,0)+IF(AF$7=$X67,$W67,0))</f>
        <v>0</v>
      </c>
      <c r="AG67" s="23" t="n">
        <f aca="false">IF($Q67+$W67=0,0,IF(AG$7=$I67,$K67+$L67+$M67+$P67,0)+IF(AG$7=$O67,$N67,0)+IF(AG$7=$X67,$W67,0))</f>
        <v>0</v>
      </c>
      <c r="AH67" s="23" t="n">
        <f aca="false">IF($Q67+$W67=0,0,IF(AH$7=$I67,$K67+$L67+$M67+$P67,0)+IF(AH$7=$O67,$N67,0)+IF(AH$7=$X67,$W67,0))</f>
        <v>0</v>
      </c>
      <c r="AJ67" s="23" t="n">
        <f aca="false">IF(AND($S67&gt;0,AJ$7&gt;=$T67,AJ$7&lt;$T67+$R67),$S67,0)+IF(AND($W67&gt;0,AJ$7&gt;$X67,AJ$7&lt;=$X67+p_AfschrLK),($V67+$W67)/p_AfschrLK,0)</f>
        <v>0</v>
      </c>
      <c r="AK67" s="23" t="n">
        <f aca="false">IF(AND($S67&gt;0,AK$7&gt;=$T67,AK$7&lt;$T67+$R67),$S67,0)+IF(AND($W67&gt;0,AK$7&gt;$X67,AK$7&lt;=$X67+p_AfschrLK),($V67+$W67)/p_AfschrLK,0)</f>
        <v>0</v>
      </c>
      <c r="AL67" s="23" t="n">
        <f aca="false">IF(AND($S67&gt;0,AL$7&gt;=$T67,AL$7&lt;$T67+$R67),$S67,0)+IF(AND($W67&gt;0,AL$7&gt;$X67,AL$7&lt;=$X67+p_AfschrLK),($V67+$W67)/p_AfschrLK,0)</f>
        <v>0</v>
      </c>
      <c r="AM67" s="23" t="n">
        <f aca="false">IF(AND($S67&gt;0,AM$7&gt;=$T67,AM$7&lt;$T67+$R67),$S67,0)+IF(AND($W67&gt;0,AM$7&gt;$X67,AM$7&lt;=$X67+p_AfschrLK),($V67+$W67)/p_AfschrLK,0)</f>
        <v>0</v>
      </c>
      <c r="AN67" s="23" t="n">
        <f aca="false">IF(AND($S67&gt;0,AN$7&gt;=$T67,AN$7&lt;$T67+$R67),$S67,0)+IF(AND($W67&gt;0,AN$7&gt;$X67,AN$7&lt;=$X67+p_AfschrLK),($V67+$W67)/p_AfschrLK,0)</f>
        <v>0</v>
      </c>
      <c r="AO67" s="23" t="n">
        <f aca="false">IF(AND($S67&gt;0,AO$7&gt;=$T67,AO$7&lt;$T67+$R67),$S67,0)+IF(AND($W67&gt;0,AO$7&gt;$X67,AO$7&lt;=$X67+p_AfschrLK),($V67+$W67)/p_AfschrLK,0)</f>
        <v>0</v>
      </c>
      <c r="AP67" s="23" t="n">
        <f aca="false">IF(AND($S67&gt;0,AP$7&gt;=$T67,AP$7&lt;$T67+$R67),$S67,0)+IF(AND($W67&gt;0,AP$7&gt;$X67,AP$7&lt;=$X67+p_AfschrLK),($V67+$W67)/p_AfschrLK,0)</f>
        <v>0</v>
      </c>
      <c r="AQ67" s="23" t="n">
        <f aca="false">IF(AND($S67&gt;0,AQ$7&gt;=$T67,AQ$7&lt;$T67+$R67),$S67,0)+IF(AND($W67&gt;0,AQ$7&gt;$X67,AQ$7&lt;=$X67+p_AfschrLK),($V67+$W67)/p_AfschrLK,0)</f>
        <v>0</v>
      </c>
    </row>
    <row r="68" customFormat="false" ht="15" hidden="false" customHeight="false" outlineLevel="0" collapsed="false">
      <c r="A68" s="20" t="str">
        <f aca="false">IF(INDEX('In gebruik'!$A:$A,ROW()+(-3))="","",INDEX('In gebruik'!$A:$A,ROW()+(-3)))</f>
        <v/>
      </c>
      <c r="B68" s="20" t="str">
        <f aca="false">IF($A68="","",INDEX('In gebruik'!$B:$B,ROW()+(-3))&amp;"")</f>
        <v/>
      </c>
      <c r="C68" s="20" t="str">
        <f aca="false">IF($A68="","",INDEX('In gebruik'!$H:$H,ROW()+(-3))&amp;"")</f>
        <v/>
      </c>
      <c r="D68" s="20" t="str">
        <f aca="false">IF($A68="","",INDEX('In gebruik'!$G:$G,ROW()+(-3))&amp;"")</f>
        <v/>
      </c>
      <c r="E68" s="20" t="str">
        <f aca="false">IF($A68="","",INDEX('In gebruik'!$U:$U,ROW()+(-3))&amp;"")</f>
        <v/>
      </c>
      <c r="F68" s="21" t="n">
        <f aca="false">IF($A68="",0,N(INDEX('In gebruik'!$J:$J,ROW()+(-3))))</f>
        <v>0</v>
      </c>
      <c r="G68" s="21" t="n">
        <f aca="false">IF($A68="",0,N(INDEX('In gebruik'!$K:$K,ROW()+(-3))))</f>
        <v>0</v>
      </c>
      <c r="H68" s="12" t="n">
        <f aca="false">IF(G68&gt;0,F68+G68-1,0)</f>
        <v>0</v>
      </c>
      <c r="I68" s="12" t="n">
        <f aca="false">IF($A68="",0,IF(N(INDEX('In gebruik'!$W:$W,ROW()+(-3)))&gt;0,N(INDEX('In gebruik'!$W:$W,ROW()+(-3))),IF(G68&gt;0,MAX(F68+G68,p_Start),0)))</f>
        <v>0</v>
      </c>
      <c r="J68" s="22" t="str">
        <f aca="false">IF($A68="","",IF(AND(G68&gt;0,F68+G68&lt;p_Start),"Over levensduur",IF(AND(I68&gt;0,I68&lt;=p_Start+3),"In begrotingsperiode","")))</f>
        <v/>
      </c>
      <c r="K68" s="23" t="n">
        <f aca="false">IF($E68="Lease-koop",p_Aanbet,0)</f>
        <v>0</v>
      </c>
      <c r="L68" s="23" t="n">
        <f aca="false">IF($E68="Lease-koop",p_Belet,0)</f>
        <v>0</v>
      </c>
      <c r="M68" s="23" t="n">
        <f aca="false">IF($E68="Lease-koop",p_Opbouw,0)</f>
        <v>0</v>
      </c>
      <c r="N68" s="23" t="n">
        <f aca="false">IF($E68="Lease-koop",p_Slot,0)</f>
        <v>0</v>
      </c>
      <c r="O68" s="12" t="n">
        <f aca="false">IF($E68="Lease-koop",I68+p_SlotJr,0)</f>
        <v>0</v>
      </c>
      <c r="P68" s="23" t="n">
        <f aca="false">IF($E68="Koop",N(INDEX('In gebruik'!$V:$V,ROW()+(-3))),0)</f>
        <v>0</v>
      </c>
      <c r="Q68" s="23" t="n">
        <f aca="false">K68+L68+M68+N68+P68</f>
        <v>0</v>
      </c>
      <c r="R68" s="12" t="n">
        <f aca="false">IF($E68="Lease-koop",p_AfschrLK,IF($E68="Koop",G68,0))</f>
        <v>0</v>
      </c>
      <c r="S68" s="23" t="n">
        <f aca="false">IF(R68&gt;0,Q68/R68,0)</f>
        <v>0</v>
      </c>
      <c r="T68" s="12" t="n">
        <f aca="false">IF($E68="Lease-koop",O68+1,IF($E68="Koop",I68+1,0))</f>
        <v>0</v>
      </c>
      <c r="U68" s="23" t="n">
        <f aca="false">IF($E68="Lease-koop",p_Lease,0)</f>
        <v>0</v>
      </c>
      <c r="V68" s="24" t="n">
        <f aca="false">IF($A68="",0,N(INDEX('In gebruik'!$R:$R,ROW()+(-3))))</f>
        <v>0</v>
      </c>
      <c r="W68" s="24" t="n">
        <f aca="false">IF($A68="",0,N(INDEX('In gebruik'!$S:$S,ROW()+(-3))))</f>
        <v>0</v>
      </c>
      <c r="X68" s="21" t="n">
        <f aca="false">IF(W68&gt;0,N(INDEX('In gebruik'!$T:$T,ROW()+(-3))),0)</f>
        <v>0</v>
      </c>
      <c r="Y68" s="24" t="n">
        <f aca="false">IF(W68&gt;0,IF(N(INDEX('In gebruik'!$P:$P,ROW()+(-3)))&gt;0,N(INDEX('In gebruik'!$P:$P,ROW()+(-3))),p_Lease),0)</f>
        <v>0</v>
      </c>
      <c r="AA68" s="23" t="n">
        <f aca="false">IF($Q68+$W68=0,0,IF(AA$7=$I68,$K68+$L68+$M68+$P68,0)+IF(AA$7=$O68,$N68,0)+IF(AA$7=$X68,$W68,0))</f>
        <v>0</v>
      </c>
      <c r="AB68" s="23" t="n">
        <f aca="false">IF($Q68+$W68=0,0,IF(AB$7=$I68,$K68+$L68+$M68+$P68,0)+IF(AB$7=$O68,$N68,0)+IF(AB$7=$X68,$W68,0))</f>
        <v>0</v>
      </c>
      <c r="AC68" s="23" t="n">
        <f aca="false">IF($Q68+$W68=0,0,IF(AC$7=$I68,$K68+$L68+$M68+$P68,0)+IF(AC$7=$O68,$N68,0)+IF(AC$7=$X68,$W68,0))</f>
        <v>0</v>
      </c>
      <c r="AD68" s="23" t="n">
        <f aca="false">IF($Q68+$W68=0,0,IF(AD$7=$I68,$K68+$L68+$M68+$P68,0)+IF(AD$7=$O68,$N68,0)+IF(AD$7=$X68,$W68,0))</f>
        <v>0</v>
      </c>
      <c r="AE68" s="23" t="n">
        <f aca="false">IF($Q68+$W68=0,0,IF(AE$7=$I68,$K68+$L68+$M68+$P68,0)+IF(AE$7=$O68,$N68,0)+IF(AE$7=$X68,$W68,0))</f>
        <v>0</v>
      </c>
      <c r="AF68" s="23" t="n">
        <f aca="false">IF($Q68+$W68=0,0,IF(AF$7=$I68,$K68+$L68+$M68+$P68,0)+IF(AF$7=$O68,$N68,0)+IF(AF$7=$X68,$W68,0))</f>
        <v>0</v>
      </c>
      <c r="AG68" s="23" t="n">
        <f aca="false">IF($Q68+$W68=0,0,IF(AG$7=$I68,$K68+$L68+$M68+$P68,0)+IF(AG$7=$O68,$N68,0)+IF(AG$7=$X68,$W68,0))</f>
        <v>0</v>
      </c>
      <c r="AH68" s="23" t="n">
        <f aca="false">IF($Q68+$W68=0,0,IF(AH$7=$I68,$K68+$L68+$M68+$P68,0)+IF(AH$7=$O68,$N68,0)+IF(AH$7=$X68,$W68,0))</f>
        <v>0</v>
      </c>
      <c r="AJ68" s="23" t="n">
        <f aca="false">IF(AND($S68&gt;0,AJ$7&gt;=$T68,AJ$7&lt;$T68+$R68),$S68,0)+IF(AND($W68&gt;0,AJ$7&gt;$X68,AJ$7&lt;=$X68+p_AfschrLK),($V68+$W68)/p_AfschrLK,0)</f>
        <v>0</v>
      </c>
      <c r="AK68" s="23" t="n">
        <f aca="false">IF(AND($S68&gt;0,AK$7&gt;=$T68,AK$7&lt;$T68+$R68),$S68,0)+IF(AND($W68&gt;0,AK$7&gt;$X68,AK$7&lt;=$X68+p_AfschrLK),($V68+$W68)/p_AfschrLK,0)</f>
        <v>0</v>
      </c>
      <c r="AL68" s="23" t="n">
        <f aca="false">IF(AND($S68&gt;0,AL$7&gt;=$T68,AL$7&lt;$T68+$R68),$S68,0)+IF(AND($W68&gt;0,AL$7&gt;$X68,AL$7&lt;=$X68+p_AfschrLK),($V68+$W68)/p_AfschrLK,0)</f>
        <v>0</v>
      </c>
      <c r="AM68" s="23" t="n">
        <f aca="false">IF(AND($S68&gt;0,AM$7&gt;=$T68,AM$7&lt;$T68+$R68),$S68,0)+IF(AND($W68&gt;0,AM$7&gt;$X68,AM$7&lt;=$X68+p_AfschrLK),($V68+$W68)/p_AfschrLK,0)</f>
        <v>0</v>
      </c>
      <c r="AN68" s="23" t="n">
        <f aca="false">IF(AND($S68&gt;0,AN$7&gt;=$T68,AN$7&lt;$T68+$R68),$S68,0)+IF(AND($W68&gt;0,AN$7&gt;$X68,AN$7&lt;=$X68+p_AfschrLK),($V68+$W68)/p_AfschrLK,0)</f>
        <v>0</v>
      </c>
      <c r="AO68" s="23" t="n">
        <f aca="false">IF(AND($S68&gt;0,AO$7&gt;=$T68,AO$7&lt;$T68+$R68),$S68,0)+IF(AND($W68&gt;0,AO$7&gt;$X68,AO$7&lt;=$X68+p_AfschrLK),($V68+$W68)/p_AfschrLK,0)</f>
        <v>0</v>
      </c>
      <c r="AP68" s="23" t="n">
        <f aca="false">IF(AND($S68&gt;0,AP$7&gt;=$T68,AP$7&lt;$T68+$R68),$S68,0)+IF(AND($W68&gt;0,AP$7&gt;$X68,AP$7&lt;=$X68+p_AfschrLK),($V68+$W68)/p_AfschrLK,0)</f>
        <v>0</v>
      </c>
      <c r="AQ68" s="23" t="n">
        <f aca="false">IF(AND($S68&gt;0,AQ$7&gt;=$T68,AQ$7&lt;$T68+$R68),$S68,0)+IF(AND($W68&gt;0,AQ$7&gt;$X68,AQ$7&lt;=$X68+p_AfschrLK),($V68+$W68)/p_AfschrLK,0)</f>
        <v>0</v>
      </c>
    </row>
    <row r="69" customFormat="false" ht="15" hidden="false" customHeight="false" outlineLevel="0" collapsed="false">
      <c r="A69" s="20" t="str">
        <f aca="false">IF(INDEX('In gebruik'!$A:$A,ROW()+(-3))="","",INDEX('In gebruik'!$A:$A,ROW()+(-3)))</f>
        <v/>
      </c>
      <c r="B69" s="20" t="str">
        <f aca="false">IF($A69="","",INDEX('In gebruik'!$B:$B,ROW()+(-3))&amp;"")</f>
        <v/>
      </c>
      <c r="C69" s="20" t="str">
        <f aca="false">IF($A69="","",INDEX('In gebruik'!$H:$H,ROW()+(-3))&amp;"")</f>
        <v/>
      </c>
      <c r="D69" s="20" t="str">
        <f aca="false">IF($A69="","",INDEX('In gebruik'!$G:$G,ROW()+(-3))&amp;"")</f>
        <v/>
      </c>
      <c r="E69" s="20" t="str">
        <f aca="false">IF($A69="","",INDEX('In gebruik'!$U:$U,ROW()+(-3))&amp;"")</f>
        <v/>
      </c>
      <c r="F69" s="21" t="n">
        <f aca="false">IF($A69="",0,N(INDEX('In gebruik'!$J:$J,ROW()+(-3))))</f>
        <v>0</v>
      </c>
      <c r="G69" s="21" t="n">
        <f aca="false">IF($A69="",0,N(INDEX('In gebruik'!$K:$K,ROW()+(-3))))</f>
        <v>0</v>
      </c>
      <c r="H69" s="12" t="n">
        <f aca="false">IF(G69&gt;0,F69+G69-1,0)</f>
        <v>0</v>
      </c>
      <c r="I69" s="12" t="n">
        <f aca="false">IF($A69="",0,IF(N(INDEX('In gebruik'!$W:$W,ROW()+(-3)))&gt;0,N(INDEX('In gebruik'!$W:$W,ROW()+(-3))),IF(G69&gt;0,MAX(F69+G69,p_Start),0)))</f>
        <v>0</v>
      </c>
      <c r="J69" s="22" t="str">
        <f aca="false">IF($A69="","",IF(AND(G69&gt;0,F69+G69&lt;p_Start),"Over levensduur",IF(AND(I69&gt;0,I69&lt;=p_Start+3),"In begrotingsperiode","")))</f>
        <v/>
      </c>
      <c r="K69" s="23" t="n">
        <f aca="false">IF($E69="Lease-koop",p_Aanbet,0)</f>
        <v>0</v>
      </c>
      <c r="L69" s="23" t="n">
        <f aca="false">IF($E69="Lease-koop",p_Belet,0)</f>
        <v>0</v>
      </c>
      <c r="M69" s="23" t="n">
        <f aca="false">IF($E69="Lease-koop",p_Opbouw,0)</f>
        <v>0</v>
      </c>
      <c r="N69" s="23" t="n">
        <f aca="false">IF($E69="Lease-koop",p_Slot,0)</f>
        <v>0</v>
      </c>
      <c r="O69" s="12" t="n">
        <f aca="false">IF($E69="Lease-koop",I69+p_SlotJr,0)</f>
        <v>0</v>
      </c>
      <c r="P69" s="23" t="n">
        <f aca="false">IF($E69="Koop",N(INDEX('In gebruik'!$V:$V,ROW()+(-3))),0)</f>
        <v>0</v>
      </c>
      <c r="Q69" s="23" t="n">
        <f aca="false">K69+L69+M69+N69+P69</f>
        <v>0</v>
      </c>
      <c r="R69" s="12" t="n">
        <f aca="false">IF($E69="Lease-koop",p_AfschrLK,IF($E69="Koop",G69,0))</f>
        <v>0</v>
      </c>
      <c r="S69" s="23" t="n">
        <f aca="false">IF(R69&gt;0,Q69/R69,0)</f>
        <v>0</v>
      </c>
      <c r="T69" s="12" t="n">
        <f aca="false">IF($E69="Lease-koop",O69+1,IF($E69="Koop",I69+1,0))</f>
        <v>0</v>
      </c>
      <c r="U69" s="23" t="n">
        <f aca="false">IF($E69="Lease-koop",p_Lease,0)</f>
        <v>0</v>
      </c>
      <c r="V69" s="24" t="n">
        <f aca="false">IF($A69="",0,N(INDEX('In gebruik'!$R:$R,ROW()+(-3))))</f>
        <v>0</v>
      </c>
      <c r="W69" s="24" t="n">
        <f aca="false">IF($A69="",0,N(INDEX('In gebruik'!$S:$S,ROW()+(-3))))</f>
        <v>0</v>
      </c>
      <c r="X69" s="21" t="n">
        <f aca="false">IF(W69&gt;0,N(INDEX('In gebruik'!$T:$T,ROW()+(-3))),0)</f>
        <v>0</v>
      </c>
      <c r="Y69" s="24" t="n">
        <f aca="false">IF(W69&gt;0,IF(N(INDEX('In gebruik'!$P:$P,ROW()+(-3)))&gt;0,N(INDEX('In gebruik'!$P:$P,ROW()+(-3))),p_Lease),0)</f>
        <v>0</v>
      </c>
      <c r="AA69" s="23" t="n">
        <f aca="false">IF($Q69+$W69=0,0,IF(AA$7=$I69,$K69+$L69+$M69+$P69,0)+IF(AA$7=$O69,$N69,0)+IF(AA$7=$X69,$W69,0))</f>
        <v>0</v>
      </c>
      <c r="AB69" s="23" t="n">
        <f aca="false">IF($Q69+$W69=0,0,IF(AB$7=$I69,$K69+$L69+$M69+$P69,0)+IF(AB$7=$O69,$N69,0)+IF(AB$7=$X69,$W69,0))</f>
        <v>0</v>
      </c>
      <c r="AC69" s="23" t="n">
        <f aca="false">IF($Q69+$W69=0,0,IF(AC$7=$I69,$K69+$L69+$M69+$P69,0)+IF(AC$7=$O69,$N69,0)+IF(AC$7=$X69,$W69,0))</f>
        <v>0</v>
      </c>
      <c r="AD69" s="23" t="n">
        <f aca="false">IF($Q69+$W69=0,0,IF(AD$7=$I69,$K69+$L69+$M69+$P69,0)+IF(AD$7=$O69,$N69,0)+IF(AD$7=$X69,$W69,0))</f>
        <v>0</v>
      </c>
      <c r="AE69" s="23" t="n">
        <f aca="false">IF($Q69+$W69=0,0,IF(AE$7=$I69,$K69+$L69+$M69+$P69,0)+IF(AE$7=$O69,$N69,0)+IF(AE$7=$X69,$W69,0))</f>
        <v>0</v>
      </c>
      <c r="AF69" s="23" t="n">
        <f aca="false">IF($Q69+$W69=0,0,IF(AF$7=$I69,$K69+$L69+$M69+$P69,0)+IF(AF$7=$O69,$N69,0)+IF(AF$7=$X69,$W69,0))</f>
        <v>0</v>
      </c>
      <c r="AG69" s="23" t="n">
        <f aca="false">IF($Q69+$W69=0,0,IF(AG$7=$I69,$K69+$L69+$M69+$P69,0)+IF(AG$7=$O69,$N69,0)+IF(AG$7=$X69,$W69,0))</f>
        <v>0</v>
      </c>
      <c r="AH69" s="23" t="n">
        <f aca="false">IF($Q69+$W69=0,0,IF(AH$7=$I69,$K69+$L69+$M69+$P69,0)+IF(AH$7=$O69,$N69,0)+IF(AH$7=$X69,$W69,0))</f>
        <v>0</v>
      </c>
      <c r="AJ69" s="23" t="n">
        <f aca="false">IF(AND($S69&gt;0,AJ$7&gt;=$T69,AJ$7&lt;$T69+$R69),$S69,0)+IF(AND($W69&gt;0,AJ$7&gt;$X69,AJ$7&lt;=$X69+p_AfschrLK),($V69+$W69)/p_AfschrLK,0)</f>
        <v>0</v>
      </c>
      <c r="AK69" s="23" t="n">
        <f aca="false">IF(AND($S69&gt;0,AK$7&gt;=$T69,AK$7&lt;$T69+$R69),$S69,0)+IF(AND($W69&gt;0,AK$7&gt;$X69,AK$7&lt;=$X69+p_AfschrLK),($V69+$W69)/p_AfschrLK,0)</f>
        <v>0</v>
      </c>
      <c r="AL69" s="23" t="n">
        <f aca="false">IF(AND($S69&gt;0,AL$7&gt;=$T69,AL$7&lt;$T69+$R69),$S69,0)+IF(AND($W69&gt;0,AL$7&gt;$X69,AL$7&lt;=$X69+p_AfschrLK),($V69+$W69)/p_AfschrLK,0)</f>
        <v>0</v>
      </c>
      <c r="AM69" s="23" t="n">
        <f aca="false">IF(AND($S69&gt;0,AM$7&gt;=$T69,AM$7&lt;$T69+$R69),$S69,0)+IF(AND($W69&gt;0,AM$7&gt;$X69,AM$7&lt;=$X69+p_AfschrLK),($V69+$W69)/p_AfschrLK,0)</f>
        <v>0</v>
      </c>
      <c r="AN69" s="23" t="n">
        <f aca="false">IF(AND($S69&gt;0,AN$7&gt;=$T69,AN$7&lt;$T69+$R69),$S69,0)+IF(AND($W69&gt;0,AN$7&gt;$X69,AN$7&lt;=$X69+p_AfschrLK),($V69+$W69)/p_AfschrLK,0)</f>
        <v>0</v>
      </c>
      <c r="AO69" s="23" t="n">
        <f aca="false">IF(AND($S69&gt;0,AO$7&gt;=$T69,AO$7&lt;$T69+$R69),$S69,0)+IF(AND($W69&gt;0,AO$7&gt;$X69,AO$7&lt;=$X69+p_AfschrLK),($V69+$W69)/p_AfschrLK,0)</f>
        <v>0</v>
      </c>
      <c r="AP69" s="23" t="n">
        <f aca="false">IF(AND($S69&gt;0,AP$7&gt;=$T69,AP$7&lt;$T69+$R69),$S69,0)+IF(AND($W69&gt;0,AP$7&gt;$X69,AP$7&lt;=$X69+p_AfschrLK),($V69+$W69)/p_AfschrLK,0)</f>
        <v>0</v>
      </c>
      <c r="AQ69" s="23" t="n">
        <f aca="false">IF(AND($S69&gt;0,AQ$7&gt;=$T69,AQ$7&lt;$T69+$R69),$S69,0)+IF(AND($W69&gt;0,AQ$7&gt;$X69,AQ$7&lt;=$X69+p_AfschrLK),($V69+$W69)/p_AfschrLK,0)</f>
        <v>0</v>
      </c>
    </row>
    <row r="70" customFormat="false" ht="15" hidden="false" customHeight="false" outlineLevel="0" collapsed="false">
      <c r="A70" s="20" t="str">
        <f aca="false">IF(INDEX('In gebruik'!$A:$A,ROW()+(-3))="","",INDEX('In gebruik'!$A:$A,ROW()+(-3)))</f>
        <v/>
      </c>
      <c r="B70" s="20" t="str">
        <f aca="false">IF($A70="","",INDEX('In gebruik'!$B:$B,ROW()+(-3))&amp;"")</f>
        <v/>
      </c>
      <c r="C70" s="20" t="str">
        <f aca="false">IF($A70="","",INDEX('In gebruik'!$H:$H,ROW()+(-3))&amp;"")</f>
        <v/>
      </c>
      <c r="D70" s="20" t="str">
        <f aca="false">IF($A70="","",INDEX('In gebruik'!$G:$G,ROW()+(-3))&amp;"")</f>
        <v/>
      </c>
      <c r="E70" s="20" t="str">
        <f aca="false">IF($A70="","",INDEX('In gebruik'!$U:$U,ROW()+(-3))&amp;"")</f>
        <v/>
      </c>
      <c r="F70" s="21" t="n">
        <f aca="false">IF($A70="",0,N(INDEX('In gebruik'!$J:$J,ROW()+(-3))))</f>
        <v>0</v>
      </c>
      <c r="G70" s="21" t="n">
        <f aca="false">IF($A70="",0,N(INDEX('In gebruik'!$K:$K,ROW()+(-3))))</f>
        <v>0</v>
      </c>
      <c r="H70" s="12" t="n">
        <f aca="false">IF(G70&gt;0,F70+G70-1,0)</f>
        <v>0</v>
      </c>
      <c r="I70" s="12" t="n">
        <f aca="false">IF($A70="",0,IF(N(INDEX('In gebruik'!$W:$W,ROW()+(-3)))&gt;0,N(INDEX('In gebruik'!$W:$W,ROW()+(-3))),IF(G70&gt;0,MAX(F70+G70,p_Start),0)))</f>
        <v>0</v>
      </c>
      <c r="J70" s="22" t="str">
        <f aca="false">IF($A70="","",IF(AND(G70&gt;0,F70+G70&lt;p_Start),"Over levensduur",IF(AND(I70&gt;0,I70&lt;=p_Start+3),"In begrotingsperiode","")))</f>
        <v/>
      </c>
      <c r="K70" s="23" t="n">
        <f aca="false">IF($E70="Lease-koop",p_Aanbet,0)</f>
        <v>0</v>
      </c>
      <c r="L70" s="23" t="n">
        <f aca="false">IF($E70="Lease-koop",p_Belet,0)</f>
        <v>0</v>
      </c>
      <c r="M70" s="23" t="n">
        <f aca="false">IF($E70="Lease-koop",p_Opbouw,0)</f>
        <v>0</v>
      </c>
      <c r="N70" s="23" t="n">
        <f aca="false">IF($E70="Lease-koop",p_Slot,0)</f>
        <v>0</v>
      </c>
      <c r="O70" s="12" t="n">
        <f aca="false">IF($E70="Lease-koop",I70+p_SlotJr,0)</f>
        <v>0</v>
      </c>
      <c r="P70" s="23" t="n">
        <f aca="false">IF($E70="Koop",N(INDEX('In gebruik'!$V:$V,ROW()+(-3))),0)</f>
        <v>0</v>
      </c>
      <c r="Q70" s="23" t="n">
        <f aca="false">K70+L70+M70+N70+P70</f>
        <v>0</v>
      </c>
      <c r="R70" s="12" t="n">
        <f aca="false">IF($E70="Lease-koop",p_AfschrLK,IF($E70="Koop",G70,0))</f>
        <v>0</v>
      </c>
      <c r="S70" s="23" t="n">
        <f aca="false">IF(R70&gt;0,Q70/R70,0)</f>
        <v>0</v>
      </c>
      <c r="T70" s="12" t="n">
        <f aca="false">IF($E70="Lease-koop",O70+1,IF($E70="Koop",I70+1,0))</f>
        <v>0</v>
      </c>
      <c r="U70" s="23" t="n">
        <f aca="false">IF($E70="Lease-koop",p_Lease,0)</f>
        <v>0</v>
      </c>
      <c r="V70" s="24" t="n">
        <f aca="false">IF($A70="",0,N(INDEX('In gebruik'!$R:$R,ROW()+(-3))))</f>
        <v>0</v>
      </c>
      <c r="W70" s="24" t="n">
        <f aca="false">IF($A70="",0,N(INDEX('In gebruik'!$S:$S,ROW()+(-3))))</f>
        <v>0</v>
      </c>
      <c r="X70" s="21" t="n">
        <f aca="false">IF(W70&gt;0,N(INDEX('In gebruik'!$T:$T,ROW()+(-3))),0)</f>
        <v>0</v>
      </c>
      <c r="Y70" s="24" t="n">
        <f aca="false">IF(W70&gt;0,IF(N(INDEX('In gebruik'!$P:$P,ROW()+(-3)))&gt;0,N(INDEX('In gebruik'!$P:$P,ROW()+(-3))),p_Lease),0)</f>
        <v>0</v>
      </c>
      <c r="AA70" s="23" t="n">
        <f aca="false">IF($Q70+$W70=0,0,IF(AA$7=$I70,$K70+$L70+$M70+$P70,0)+IF(AA$7=$O70,$N70,0)+IF(AA$7=$X70,$W70,0))</f>
        <v>0</v>
      </c>
      <c r="AB70" s="23" t="n">
        <f aca="false">IF($Q70+$W70=0,0,IF(AB$7=$I70,$K70+$L70+$M70+$P70,0)+IF(AB$7=$O70,$N70,0)+IF(AB$7=$X70,$W70,0))</f>
        <v>0</v>
      </c>
      <c r="AC70" s="23" t="n">
        <f aca="false">IF($Q70+$W70=0,0,IF(AC$7=$I70,$K70+$L70+$M70+$P70,0)+IF(AC$7=$O70,$N70,0)+IF(AC$7=$X70,$W70,0))</f>
        <v>0</v>
      </c>
      <c r="AD70" s="23" t="n">
        <f aca="false">IF($Q70+$W70=0,0,IF(AD$7=$I70,$K70+$L70+$M70+$P70,0)+IF(AD$7=$O70,$N70,0)+IF(AD$7=$X70,$W70,0))</f>
        <v>0</v>
      </c>
      <c r="AE70" s="23" t="n">
        <f aca="false">IF($Q70+$W70=0,0,IF(AE$7=$I70,$K70+$L70+$M70+$P70,0)+IF(AE$7=$O70,$N70,0)+IF(AE$7=$X70,$W70,0))</f>
        <v>0</v>
      </c>
      <c r="AF70" s="23" t="n">
        <f aca="false">IF($Q70+$W70=0,0,IF(AF$7=$I70,$K70+$L70+$M70+$P70,0)+IF(AF$7=$O70,$N70,0)+IF(AF$7=$X70,$W70,0))</f>
        <v>0</v>
      </c>
      <c r="AG70" s="23" t="n">
        <f aca="false">IF($Q70+$W70=0,0,IF(AG$7=$I70,$K70+$L70+$M70+$P70,0)+IF(AG$7=$O70,$N70,0)+IF(AG$7=$X70,$W70,0))</f>
        <v>0</v>
      </c>
      <c r="AH70" s="23" t="n">
        <f aca="false">IF($Q70+$W70=0,0,IF(AH$7=$I70,$K70+$L70+$M70+$P70,0)+IF(AH$7=$O70,$N70,0)+IF(AH$7=$X70,$W70,0))</f>
        <v>0</v>
      </c>
      <c r="AJ70" s="23" t="n">
        <f aca="false">IF(AND($S70&gt;0,AJ$7&gt;=$T70,AJ$7&lt;$T70+$R70),$S70,0)+IF(AND($W70&gt;0,AJ$7&gt;$X70,AJ$7&lt;=$X70+p_AfschrLK),($V70+$W70)/p_AfschrLK,0)</f>
        <v>0</v>
      </c>
      <c r="AK70" s="23" t="n">
        <f aca="false">IF(AND($S70&gt;0,AK$7&gt;=$T70,AK$7&lt;$T70+$R70),$S70,0)+IF(AND($W70&gt;0,AK$7&gt;$X70,AK$7&lt;=$X70+p_AfschrLK),($V70+$W70)/p_AfschrLK,0)</f>
        <v>0</v>
      </c>
      <c r="AL70" s="23" t="n">
        <f aca="false">IF(AND($S70&gt;0,AL$7&gt;=$T70,AL$7&lt;$T70+$R70),$S70,0)+IF(AND($W70&gt;0,AL$7&gt;$X70,AL$7&lt;=$X70+p_AfschrLK),($V70+$W70)/p_AfschrLK,0)</f>
        <v>0</v>
      </c>
      <c r="AM70" s="23" t="n">
        <f aca="false">IF(AND($S70&gt;0,AM$7&gt;=$T70,AM$7&lt;$T70+$R70),$S70,0)+IF(AND($W70&gt;0,AM$7&gt;$X70,AM$7&lt;=$X70+p_AfschrLK),($V70+$W70)/p_AfschrLK,0)</f>
        <v>0</v>
      </c>
      <c r="AN70" s="23" t="n">
        <f aca="false">IF(AND($S70&gt;0,AN$7&gt;=$T70,AN$7&lt;$T70+$R70),$S70,0)+IF(AND($W70&gt;0,AN$7&gt;$X70,AN$7&lt;=$X70+p_AfschrLK),($V70+$W70)/p_AfschrLK,0)</f>
        <v>0</v>
      </c>
      <c r="AO70" s="23" t="n">
        <f aca="false">IF(AND($S70&gt;0,AO$7&gt;=$T70,AO$7&lt;$T70+$R70),$S70,0)+IF(AND($W70&gt;0,AO$7&gt;$X70,AO$7&lt;=$X70+p_AfschrLK),($V70+$W70)/p_AfschrLK,0)</f>
        <v>0</v>
      </c>
      <c r="AP70" s="23" t="n">
        <f aca="false">IF(AND($S70&gt;0,AP$7&gt;=$T70,AP$7&lt;$T70+$R70),$S70,0)+IF(AND($W70&gt;0,AP$7&gt;$X70,AP$7&lt;=$X70+p_AfschrLK),($V70+$W70)/p_AfschrLK,0)</f>
        <v>0</v>
      </c>
      <c r="AQ70" s="23" t="n">
        <f aca="false">IF(AND($S70&gt;0,AQ$7&gt;=$T70,AQ$7&lt;$T70+$R70),$S70,0)+IF(AND($W70&gt;0,AQ$7&gt;$X70,AQ$7&lt;=$X70+p_AfschrLK),($V70+$W70)/p_AfschrLK,0)</f>
        <v>0</v>
      </c>
    </row>
    <row r="71" customFormat="false" ht="15" hidden="false" customHeight="false" outlineLevel="0" collapsed="false">
      <c r="A71" s="20" t="str">
        <f aca="false">IF(INDEX('In gebruik'!$A:$A,ROW()+(-3))="","",INDEX('In gebruik'!$A:$A,ROW()+(-3)))</f>
        <v/>
      </c>
      <c r="B71" s="20" t="str">
        <f aca="false">IF($A71="","",INDEX('In gebruik'!$B:$B,ROW()+(-3))&amp;"")</f>
        <v/>
      </c>
      <c r="C71" s="20" t="str">
        <f aca="false">IF($A71="","",INDEX('In gebruik'!$H:$H,ROW()+(-3))&amp;"")</f>
        <v/>
      </c>
      <c r="D71" s="20" t="str">
        <f aca="false">IF($A71="","",INDEX('In gebruik'!$G:$G,ROW()+(-3))&amp;"")</f>
        <v/>
      </c>
      <c r="E71" s="20" t="str">
        <f aca="false">IF($A71="","",INDEX('In gebruik'!$U:$U,ROW()+(-3))&amp;"")</f>
        <v/>
      </c>
      <c r="F71" s="21" t="n">
        <f aca="false">IF($A71="",0,N(INDEX('In gebruik'!$J:$J,ROW()+(-3))))</f>
        <v>0</v>
      </c>
      <c r="G71" s="21" t="n">
        <f aca="false">IF($A71="",0,N(INDEX('In gebruik'!$K:$K,ROW()+(-3))))</f>
        <v>0</v>
      </c>
      <c r="H71" s="12" t="n">
        <f aca="false">IF(G71&gt;0,F71+G71-1,0)</f>
        <v>0</v>
      </c>
      <c r="I71" s="12" t="n">
        <f aca="false">IF($A71="",0,IF(N(INDEX('In gebruik'!$W:$W,ROW()+(-3)))&gt;0,N(INDEX('In gebruik'!$W:$W,ROW()+(-3))),IF(G71&gt;0,MAX(F71+G71,p_Start),0)))</f>
        <v>0</v>
      </c>
      <c r="J71" s="22" t="str">
        <f aca="false">IF($A71="","",IF(AND(G71&gt;0,F71+G71&lt;p_Start),"Over levensduur",IF(AND(I71&gt;0,I71&lt;=p_Start+3),"In begrotingsperiode","")))</f>
        <v/>
      </c>
      <c r="K71" s="23" t="n">
        <f aca="false">IF($E71="Lease-koop",p_Aanbet,0)</f>
        <v>0</v>
      </c>
      <c r="L71" s="23" t="n">
        <f aca="false">IF($E71="Lease-koop",p_Belet,0)</f>
        <v>0</v>
      </c>
      <c r="M71" s="23" t="n">
        <f aca="false">IF($E71="Lease-koop",p_Opbouw,0)</f>
        <v>0</v>
      </c>
      <c r="N71" s="23" t="n">
        <f aca="false">IF($E71="Lease-koop",p_Slot,0)</f>
        <v>0</v>
      </c>
      <c r="O71" s="12" t="n">
        <f aca="false">IF($E71="Lease-koop",I71+p_SlotJr,0)</f>
        <v>0</v>
      </c>
      <c r="P71" s="23" t="n">
        <f aca="false">IF($E71="Koop",N(INDEX('In gebruik'!$V:$V,ROW()+(-3))),0)</f>
        <v>0</v>
      </c>
      <c r="Q71" s="23" t="n">
        <f aca="false">K71+L71+M71+N71+P71</f>
        <v>0</v>
      </c>
      <c r="R71" s="12" t="n">
        <f aca="false">IF($E71="Lease-koop",p_AfschrLK,IF($E71="Koop",G71,0))</f>
        <v>0</v>
      </c>
      <c r="S71" s="23" t="n">
        <f aca="false">IF(R71&gt;0,Q71/R71,0)</f>
        <v>0</v>
      </c>
      <c r="T71" s="12" t="n">
        <f aca="false">IF($E71="Lease-koop",O71+1,IF($E71="Koop",I71+1,0))</f>
        <v>0</v>
      </c>
      <c r="U71" s="23" t="n">
        <f aca="false">IF($E71="Lease-koop",p_Lease,0)</f>
        <v>0</v>
      </c>
      <c r="V71" s="24" t="n">
        <f aca="false">IF($A71="",0,N(INDEX('In gebruik'!$R:$R,ROW()+(-3))))</f>
        <v>0</v>
      </c>
      <c r="W71" s="24" t="n">
        <f aca="false">IF($A71="",0,N(INDEX('In gebruik'!$S:$S,ROW()+(-3))))</f>
        <v>0</v>
      </c>
      <c r="X71" s="21" t="n">
        <f aca="false">IF(W71&gt;0,N(INDEX('In gebruik'!$T:$T,ROW()+(-3))),0)</f>
        <v>0</v>
      </c>
      <c r="Y71" s="24" t="n">
        <f aca="false">IF(W71&gt;0,IF(N(INDEX('In gebruik'!$P:$P,ROW()+(-3)))&gt;0,N(INDEX('In gebruik'!$P:$P,ROW()+(-3))),p_Lease),0)</f>
        <v>0</v>
      </c>
      <c r="AA71" s="23" t="n">
        <f aca="false">IF($Q71+$W71=0,0,IF(AA$7=$I71,$K71+$L71+$M71+$P71,0)+IF(AA$7=$O71,$N71,0)+IF(AA$7=$X71,$W71,0))</f>
        <v>0</v>
      </c>
      <c r="AB71" s="23" t="n">
        <f aca="false">IF($Q71+$W71=0,0,IF(AB$7=$I71,$K71+$L71+$M71+$P71,0)+IF(AB$7=$O71,$N71,0)+IF(AB$7=$X71,$W71,0))</f>
        <v>0</v>
      </c>
      <c r="AC71" s="23" t="n">
        <f aca="false">IF($Q71+$W71=0,0,IF(AC$7=$I71,$K71+$L71+$M71+$P71,0)+IF(AC$7=$O71,$N71,0)+IF(AC$7=$X71,$W71,0))</f>
        <v>0</v>
      </c>
      <c r="AD71" s="23" t="n">
        <f aca="false">IF($Q71+$W71=0,0,IF(AD$7=$I71,$K71+$L71+$M71+$P71,0)+IF(AD$7=$O71,$N71,0)+IF(AD$7=$X71,$W71,0))</f>
        <v>0</v>
      </c>
      <c r="AE71" s="23" t="n">
        <f aca="false">IF($Q71+$W71=0,0,IF(AE$7=$I71,$K71+$L71+$M71+$P71,0)+IF(AE$7=$O71,$N71,0)+IF(AE$7=$X71,$W71,0))</f>
        <v>0</v>
      </c>
      <c r="AF71" s="23" t="n">
        <f aca="false">IF($Q71+$W71=0,0,IF(AF$7=$I71,$K71+$L71+$M71+$P71,0)+IF(AF$7=$O71,$N71,0)+IF(AF$7=$X71,$W71,0))</f>
        <v>0</v>
      </c>
      <c r="AG71" s="23" t="n">
        <f aca="false">IF($Q71+$W71=0,0,IF(AG$7=$I71,$K71+$L71+$M71+$P71,0)+IF(AG$7=$O71,$N71,0)+IF(AG$7=$X71,$W71,0))</f>
        <v>0</v>
      </c>
      <c r="AH71" s="23" t="n">
        <f aca="false">IF($Q71+$W71=0,0,IF(AH$7=$I71,$K71+$L71+$M71+$P71,0)+IF(AH$7=$O71,$N71,0)+IF(AH$7=$X71,$W71,0))</f>
        <v>0</v>
      </c>
      <c r="AJ71" s="23" t="n">
        <f aca="false">IF(AND($S71&gt;0,AJ$7&gt;=$T71,AJ$7&lt;$T71+$R71),$S71,0)+IF(AND($W71&gt;0,AJ$7&gt;$X71,AJ$7&lt;=$X71+p_AfschrLK),($V71+$W71)/p_AfschrLK,0)</f>
        <v>0</v>
      </c>
      <c r="AK71" s="23" t="n">
        <f aca="false">IF(AND($S71&gt;0,AK$7&gt;=$T71,AK$7&lt;$T71+$R71),$S71,0)+IF(AND($W71&gt;0,AK$7&gt;$X71,AK$7&lt;=$X71+p_AfschrLK),($V71+$W71)/p_AfschrLK,0)</f>
        <v>0</v>
      </c>
      <c r="AL71" s="23" t="n">
        <f aca="false">IF(AND($S71&gt;0,AL$7&gt;=$T71,AL$7&lt;$T71+$R71),$S71,0)+IF(AND($W71&gt;0,AL$7&gt;$X71,AL$7&lt;=$X71+p_AfschrLK),($V71+$W71)/p_AfschrLK,0)</f>
        <v>0</v>
      </c>
      <c r="AM71" s="23" t="n">
        <f aca="false">IF(AND($S71&gt;0,AM$7&gt;=$T71,AM$7&lt;$T71+$R71),$S71,0)+IF(AND($W71&gt;0,AM$7&gt;$X71,AM$7&lt;=$X71+p_AfschrLK),($V71+$W71)/p_AfschrLK,0)</f>
        <v>0</v>
      </c>
      <c r="AN71" s="23" t="n">
        <f aca="false">IF(AND($S71&gt;0,AN$7&gt;=$T71,AN$7&lt;$T71+$R71),$S71,0)+IF(AND($W71&gt;0,AN$7&gt;$X71,AN$7&lt;=$X71+p_AfschrLK),($V71+$W71)/p_AfschrLK,0)</f>
        <v>0</v>
      </c>
      <c r="AO71" s="23" t="n">
        <f aca="false">IF(AND($S71&gt;0,AO$7&gt;=$T71,AO$7&lt;$T71+$R71),$S71,0)+IF(AND($W71&gt;0,AO$7&gt;$X71,AO$7&lt;=$X71+p_AfschrLK),($V71+$W71)/p_AfschrLK,0)</f>
        <v>0</v>
      </c>
      <c r="AP71" s="23" t="n">
        <f aca="false">IF(AND($S71&gt;0,AP$7&gt;=$T71,AP$7&lt;$T71+$R71),$S71,0)+IF(AND($W71&gt;0,AP$7&gt;$X71,AP$7&lt;=$X71+p_AfschrLK),($V71+$W71)/p_AfschrLK,0)</f>
        <v>0</v>
      </c>
      <c r="AQ71" s="23" t="n">
        <f aca="false">IF(AND($S71&gt;0,AQ$7&gt;=$T71,AQ$7&lt;$T71+$R71),$S71,0)+IF(AND($W71&gt;0,AQ$7&gt;$X71,AQ$7&lt;=$X71+p_AfschrLK),($V71+$W71)/p_AfschrLK,0)</f>
        <v>0</v>
      </c>
    </row>
    <row r="72" customFormat="false" ht="15" hidden="false" customHeight="false" outlineLevel="0" collapsed="false">
      <c r="A72" s="20" t="str">
        <f aca="false">IF(INDEX('In gebruik'!$A:$A,ROW()+(-3))="","",INDEX('In gebruik'!$A:$A,ROW()+(-3)))</f>
        <v/>
      </c>
      <c r="B72" s="20" t="str">
        <f aca="false">IF($A72="","",INDEX('In gebruik'!$B:$B,ROW()+(-3))&amp;"")</f>
        <v/>
      </c>
      <c r="C72" s="20" t="str">
        <f aca="false">IF($A72="","",INDEX('In gebruik'!$H:$H,ROW()+(-3))&amp;"")</f>
        <v/>
      </c>
      <c r="D72" s="20" t="str">
        <f aca="false">IF($A72="","",INDEX('In gebruik'!$G:$G,ROW()+(-3))&amp;"")</f>
        <v/>
      </c>
      <c r="E72" s="20" t="str">
        <f aca="false">IF($A72="","",INDEX('In gebruik'!$U:$U,ROW()+(-3))&amp;"")</f>
        <v/>
      </c>
      <c r="F72" s="21" t="n">
        <f aca="false">IF($A72="",0,N(INDEX('In gebruik'!$J:$J,ROW()+(-3))))</f>
        <v>0</v>
      </c>
      <c r="G72" s="21" t="n">
        <f aca="false">IF($A72="",0,N(INDEX('In gebruik'!$K:$K,ROW()+(-3))))</f>
        <v>0</v>
      </c>
      <c r="H72" s="12" t="n">
        <f aca="false">IF(G72&gt;0,F72+G72-1,0)</f>
        <v>0</v>
      </c>
      <c r="I72" s="12" t="n">
        <f aca="false">IF($A72="",0,IF(N(INDEX('In gebruik'!$W:$W,ROW()+(-3)))&gt;0,N(INDEX('In gebruik'!$W:$W,ROW()+(-3))),IF(G72&gt;0,MAX(F72+G72,p_Start),0)))</f>
        <v>0</v>
      </c>
      <c r="J72" s="22" t="str">
        <f aca="false">IF($A72="","",IF(AND(G72&gt;0,F72+G72&lt;p_Start),"Over levensduur",IF(AND(I72&gt;0,I72&lt;=p_Start+3),"In begrotingsperiode","")))</f>
        <v/>
      </c>
      <c r="K72" s="23" t="n">
        <f aca="false">IF($E72="Lease-koop",p_Aanbet,0)</f>
        <v>0</v>
      </c>
      <c r="L72" s="23" t="n">
        <f aca="false">IF($E72="Lease-koop",p_Belet,0)</f>
        <v>0</v>
      </c>
      <c r="M72" s="23" t="n">
        <f aca="false">IF($E72="Lease-koop",p_Opbouw,0)</f>
        <v>0</v>
      </c>
      <c r="N72" s="23" t="n">
        <f aca="false">IF($E72="Lease-koop",p_Slot,0)</f>
        <v>0</v>
      </c>
      <c r="O72" s="12" t="n">
        <f aca="false">IF($E72="Lease-koop",I72+p_SlotJr,0)</f>
        <v>0</v>
      </c>
      <c r="P72" s="23" t="n">
        <f aca="false">IF($E72="Koop",N(INDEX('In gebruik'!$V:$V,ROW()+(-3))),0)</f>
        <v>0</v>
      </c>
      <c r="Q72" s="23" t="n">
        <f aca="false">K72+L72+M72+N72+P72</f>
        <v>0</v>
      </c>
      <c r="R72" s="12" t="n">
        <f aca="false">IF($E72="Lease-koop",p_AfschrLK,IF($E72="Koop",G72,0))</f>
        <v>0</v>
      </c>
      <c r="S72" s="23" t="n">
        <f aca="false">IF(R72&gt;0,Q72/R72,0)</f>
        <v>0</v>
      </c>
      <c r="T72" s="12" t="n">
        <f aca="false">IF($E72="Lease-koop",O72+1,IF($E72="Koop",I72+1,0))</f>
        <v>0</v>
      </c>
      <c r="U72" s="23" t="n">
        <f aca="false">IF($E72="Lease-koop",p_Lease,0)</f>
        <v>0</v>
      </c>
      <c r="V72" s="24" t="n">
        <f aca="false">IF($A72="",0,N(INDEX('In gebruik'!$R:$R,ROW()+(-3))))</f>
        <v>0</v>
      </c>
      <c r="W72" s="24" t="n">
        <f aca="false">IF($A72="",0,N(INDEX('In gebruik'!$S:$S,ROW()+(-3))))</f>
        <v>0</v>
      </c>
      <c r="X72" s="21" t="n">
        <f aca="false">IF(W72&gt;0,N(INDEX('In gebruik'!$T:$T,ROW()+(-3))),0)</f>
        <v>0</v>
      </c>
      <c r="Y72" s="24" t="n">
        <f aca="false">IF(W72&gt;0,IF(N(INDEX('In gebruik'!$P:$P,ROW()+(-3)))&gt;0,N(INDEX('In gebruik'!$P:$P,ROW()+(-3))),p_Lease),0)</f>
        <v>0</v>
      </c>
      <c r="AA72" s="23" t="n">
        <f aca="false">IF($Q72+$W72=0,0,IF(AA$7=$I72,$K72+$L72+$M72+$P72,0)+IF(AA$7=$O72,$N72,0)+IF(AA$7=$X72,$W72,0))</f>
        <v>0</v>
      </c>
      <c r="AB72" s="23" t="n">
        <f aca="false">IF($Q72+$W72=0,0,IF(AB$7=$I72,$K72+$L72+$M72+$P72,0)+IF(AB$7=$O72,$N72,0)+IF(AB$7=$X72,$W72,0))</f>
        <v>0</v>
      </c>
      <c r="AC72" s="23" t="n">
        <f aca="false">IF($Q72+$W72=0,0,IF(AC$7=$I72,$K72+$L72+$M72+$P72,0)+IF(AC$7=$O72,$N72,0)+IF(AC$7=$X72,$W72,0))</f>
        <v>0</v>
      </c>
      <c r="AD72" s="23" t="n">
        <f aca="false">IF($Q72+$W72=0,0,IF(AD$7=$I72,$K72+$L72+$M72+$P72,0)+IF(AD$7=$O72,$N72,0)+IF(AD$7=$X72,$W72,0))</f>
        <v>0</v>
      </c>
      <c r="AE72" s="23" t="n">
        <f aca="false">IF($Q72+$W72=0,0,IF(AE$7=$I72,$K72+$L72+$M72+$P72,0)+IF(AE$7=$O72,$N72,0)+IF(AE$7=$X72,$W72,0))</f>
        <v>0</v>
      </c>
      <c r="AF72" s="23" t="n">
        <f aca="false">IF($Q72+$W72=0,0,IF(AF$7=$I72,$K72+$L72+$M72+$P72,0)+IF(AF$7=$O72,$N72,0)+IF(AF$7=$X72,$W72,0))</f>
        <v>0</v>
      </c>
      <c r="AG72" s="23" t="n">
        <f aca="false">IF($Q72+$W72=0,0,IF(AG$7=$I72,$K72+$L72+$M72+$P72,0)+IF(AG$7=$O72,$N72,0)+IF(AG$7=$X72,$W72,0))</f>
        <v>0</v>
      </c>
      <c r="AH72" s="23" t="n">
        <f aca="false">IF($Q72+$W72=0,0,IF(AH$7=$I72,$K72+$L72+$M72+$P72,0)+IF(AH$7=$O72,$N72,0)+IF(AH$7=$X72,$W72,0))</f>
        <v>0</v>
      </c>
      <c r="AJ72" s="23" t="n">
        <f aca="false">IF(AND($S72&gt;0,AJ$7&gt;=$T72,AJ$7&lt;$T72+$R72),$S72,0)+IF(AND($W72&gt;0,AJ$7&gt;$X72,AJ$7&lt;=$X72+p_AfschrLK),($V72+$W72)/p_AfschrLK,0)</f>
        <v>0</v>
      </c>
      <c r="AK72" s="23" t="n">
        <f aca="false">IF(AND($S72&gt;0,AK$7&gt;=$T72,AK$7&lt;$T72+$R72),$S72,0)+IF(AND($W72&gt;0,AK$7&gt;$X72,AK$7&lt;=$X72+p_AfschrLK),($V72+$W72)/p_AfschrLK,0)</f>
        <v>0</v>
      </c>
      <c r="AL72" s="23" t="n">
        <f aca="false">IF(AND($S72&gt;0,AL$7&gt;=$T72,AL$7&lt;$T72+$R72),$S72,0)+IF(AND($W72&gt;0,AL$7&gt;$X72,AL$7&lt;=$X72+p_AfschrLK),($V72+$W72)/p_AfschrLK,0)</f>
        <v>0</v>
      </c>
      <c r="AM72" s="23" t="n">
        <f aca="false">IF(AND($S72&gt;0,AM$7&gt;=$T72,AM$7&lt;$T72+$R72),$S72,0)+IF(AND($W72&gt;0,AM$7&gt;$X72,AM$7&lt;=$X72+p_AfschrLK),($V72+$W72)/p_AfschrLK,0)</f>
        <v>0</v>
      </c>
      <c r="AN72" s="23" t="n">
        <f aca="false">IF(AND($S72&gt;0,AN$7&gt;=$T72,AN$7&lt;$T72+$R72),$S72,0)+IF(AND($W72&gt;0,AN$7&gt;$X72,AN$7&lt;=$X72+p_AfschrLK),($V72+$W72)/p_AfschrLK,0)</f>
        <v>0</v>
      </c>
      <c r="AO72" s="23" t="n">
        <f aca="false">IF(AND($S72&gt;0,AO$7&gt;=$T72,AO$7&lt;$T72+$R72),$S72,0)+IF(AND($W72&gt;0,AO$7&gt;$X72,AO$7&lt;=$X72+p_AfschrLK),($V72+$W72)/p_AfschrLK,0)</f>
        <v>0</v>
      </c>
      <c r="AP72" s="23" t="n">
        <f aca="false">IF(AND($S72&gt;0,AP$7&gt;=$T72,AP$7&lt;$T72+$R72),$S72,0)+IF(AND($W72&gt;0,AP$7&gt;$X72,AP$7&lt;=$X72+p_AfschrLK),($V72+$W72)/p_AfschrLK,0)</f>
        <v>0</v>
      </c>
      <c r="AQ72" s="23" t="n">
        <f aca="false">IF(AND($S72&gt;0,AQ$7&gt;=$T72,AQ$7&lt;$T72+$R72),$S72,0)+IF(AND($W72&gt;0,AQ$7&gt;$X72,AQ$7&lt;=$X72+p_AfschrLK),($V72+$W72)/p_AfschrLK,0)</f>
        <v>0</v>
      </c>
    </row>
    <row r="73" customFormat="false" ht="15" hidden="false" customHeight="false" outlineLevel="0" collapsed="false">
      <c r="A73" s="20" t="str">
        <f aca="false">IF(INDEX('In gebruik'!$A:$A,ROW()+(-3))="","",INDEX('In gebruik'!$A:$A,ROW()+(-3)))</f>
        <v/>
      </c>
      <c r="B73" s="20" t="str">
        <f aca="false">IF($A73="","",INDEX('In gebruik'!$B:$B,ROW()+(-3))&amp;"")</f>
        <v/>
      </c>
      <c r="C73" s="20" t="str">
        <f aca="false">IF($A73="","",INDEX('In gebruik'!$H:$H,ROW()+(-3))&amp;"")</f>
        <v/>
      </c>
      <c r="D73" s="20" t="str">
        <f aca="false">IF($A73="","",INDEX('In gebruik'!$G:$G,ROW()+(-3))&amp;"")</f>
        <v/>
      </c>
      <c r="E73" s="20" t="str">
        <f aca="false">IF($A73="","",INDEX('In gebruik'!$U:$U,ROW()+(-3))&amp;"")</f>
        <v/>
      </c>
      <c r="F73" s="21" t="n">
        <f aca="false">IF($A73="",0,N(INDEX('In gebruik'!$J:$J,ROW()+(-3))))</f>
        <v>0</v>
      </c>
      <c r="G73" s="21" t="n">
        <f aca="false">IF($A73="",0,N(INDEX('In gebruik'!$K:$K,ROW()+(-3))))</f>
        <v>0</v>
      </c>
      <c r="H73" s="12" t="n">
        <f aca="false">IF(G73&gt;0,F73+G73-1,0)</f>
        <v>0</v>
      </c>
      <c r="I73" s="12" t="n">
        <f aca="false">IF($A73="",0,IF(N(INDEX('In gebruik'!$W:$W,ROW()+(-3)))&gt;0,N(INDEX('In gebruik'!$W:$W,ROW()+(-3))),IF(G73&gt;0,MAX(F73+G73,p_Start),0)))</f>
        <v>0</v>
      </c>
      <c r="J73" s="22" t="str">
        <f aca="false">IF($A73="","",IF(AND(G73&gt;0,F73+G73&lt;p_Start),"Over levensduur",IF(AND(I73&gt;0,I73&lt;=p_Start+3),"In begrotingsperiode","")))</f>
        <v/>
      </c>
      <c r="K73" s="23" t="n">
        <f aca="false">IF($E73="Lease-koop",p_Aanbet,0)</f>
        <v>0</v>
      </c>
      <c r="L73" s="23" t="n">
        <f aca="false">IF($E73="Lease-koop",p_Belet,0)</f>
        <v>0</v>
      </c>
      <c r="M73" s="23" t="n">
        <f aca="false">IF($E73="Lease-koop",p_Opbouw,0)</f>
        <v>0</v>
      </c>
      <c r="N73" s="23" t="n">
        <f aca="false">IF($E73="Lease-koop",p_Slot,0)</f>
        <v>0</v>
      </c>
      <c r="O73" s="12" t="n">
        <f aca="false">IF($E73="Lease-koop",I73+p_SlotJr,0)</f>
        <v>0</v>
      </c>
      <c r="P73" s="23" t="n">
        <f aca="false">IF($E73="Koop",N(INDEX('In gebruik'!$V:$V,ROW()+(-3))),0)</f>
        <v>0</v>
      </c>
      <c r="Q73" s="23" t="n">
        <f aca="false">K73+L73+M73+N73+P73</f>
        <v>0</v>
      </c>
      <c r="R73" s="12" t="n">
        <f aca="false">IF($E73="Lease-koop",p_AfschrLK,IF($E73="Koop",G73,0))</f>
        <v>0</v>
      </c>
      <c r="S73" s="23" t="n">
        <f aca="false">IF(R73&gt;0,Q73/R73,0)</f>
        <v>0</v>
      </c>
      <c r="T73" s="12" t="n">
        <f aca="false">IF($E73="Lease-koop",O73+1,IF($E73="Koop",I73+1,0))</f>
        <v>0</v>
      </c>
      <c r="U73" s="23" t="n">
        <f aca="false">IF($E73="Lease-koop",p_Lease,0)</f>
        <v>0</v>
      </c>
      <c r="V73" s="24" t="n">
        <f aca="false">IF($A73="",0,N(INDEX('In gebruik'!$R:$R,ROW()+(-3))))</f>
        <v>0</v>
      </c>
      <c r="W73" s="24" t="n">
        <f aca="false">IF($A73="",0,N(INDEX('In gebruik'!$S:$S,ROW()+(-3))))</f>
        <v>0</v>
      </c>
      <c r="X73" s="21" t="n">
        <f aca="false">IF(W73&gt;0,N(INDEX('In gebruik'!$T:$T,ROW()+(-3))),0)</f>
        <v>0</v>
      </c>
      <c r="Y73" s="24" t="n">
        <f aca="false">IF(W73&gt;0,IF(N(INDEX('In gebruik'!$P:$P,ROW()+(-3)))&gt;0,N(INDEX('In gebruik'!$P:$P,ROW()+(-3))),p_Lease),0)</f>
        <v>0</v>
      </c>
      <c r="AA73" s="23" t="n">
        <f aca="false">IF($Q73+$W73=0,0,IF(AA$7=$I73,$K73+$L73+$M73+$P73,0)+IF(AA$7=$O73,$N73,0)+IF(AA$7=$X73,$W73,0))</f>
        <v>0</v>
      </c>
      <c r="AB73" s="23" t="n">
        <f aca="false">IF($Q73+$W73=0,0,IF(AB$7=$I73,$K73+$L73+$M73+$P73,0)+IF(AB$7=$O73,$N73,0)+IF(AB$7=$X73,$W73,0))</f>
        <v>0</v>
      </c>
      <c r="AC73" s="23" t="n">
        <f aca="false">IF($Q73+$W73=0,0,IF(AC$7=$I73,$K73+$L73+$M73+$P73,0)+IF(AC$7=$O73,$N73,0)+IF(AC$7=$X73,$W73,0))</f>
        <v>0</v>
      </c>
      <c r="AD73" s="23" t="n">
        <f aca="false">IF($Q73+$W73=0,0,IF(AD$7=$I73,$K73+$L73+$M73+$P73,0)+IF(AD$7=$O73,$N73,0)+IF(AD$7=$X73,$W73,0))</f>
        <v>0</v>
      </c>
      <c r="AE73" s="23" t="n">
        <f aca="false">IF($Q73+$W73=0,0,IF(AE$7=$I73,$K73+$L73+$M73+$P73,0)+IF(AE$7=$O73,$N73,0)+IF(AE$7=$X73,$W73,0))</f>
        <v>0</v>
      </c>
      <c r="AF73" s="23" t="n">
        <f aca="false">IF($Q73+$W73=0,0,IF(AF$7=$I73,$K73+$L73+$M73+$P73,0)+IF(AF$7=$O73,$N73,0)+IF(AF$7=$X73,$W73,0))</f>
        <v>0</v>
      </c>
      <c r="AG73" s="23" t="n">
        <f aca="false">IF($Q73+$W73=0,0,IF(AG$7=$I73,$K73+$L73+$M73+$P73,0)+IF(AG$7=$O73,$N73,0)+IF(AG$7=$X73,$W73,0))</f>
        <v>0</v>
      </c>
      <c r="AH73" s="23" t="n">
        <f aca="false">IF($Q73+$W73=0,0,IF(AH$7=$I73,$K73+$L73+$M73+$P73,0)+IF(AH$7=$O73,$N73,0)+IF(AH$7=$X73,$W73,0))</f>
        <v>0</v>
      </c>
      <c r="AJ73" s="23" t="n">
        <f aca="false">IF(AND($S73&gt;0,AJ$7&gt;=$T73,AJ$7&lt;$T73+$R73),$S73,0)+IF(AND($W73&gt;0,AJ$7&gt;$X73,AJ$7&lt;=$X73+p_AfschrLK),($V73+$W73)/p_AfschrLK,0)</f>
        <v>0</v>
      </c>
      <c r="AK73" s="23" t="n">
        <f aca="false">IF(AND($S73&gt;0,AK$7&gt;=$T73,AK$7&lt;$T73+$R73),$S73,0)+IF(AND($W73&gt;0,AK$7&gt;$X73,AK$7&lt;=$X73+p_AfschrLK),($V73+$W73)/p_AfschrLK,0)</f>
        <v>0</v>
      </c>
      <c r="AL73" s="23" t="n">
        <f aca="false">IF(AND($S73&gt;0,AL$7&gt;=$T73,AL$7&lt;$T73+$R73),$S73,0)+IF(AND($W73&gt;0,AL$7&gt;$X73,AL$7&lt;=$X73+p_AfschrLK),($V73+$W73)/p_AfschrLK,0)</f>
        <v>0</v>
      </c>
      <c r="AM73" s="23" t="n">
        <f aca="false">IF(AND($S73&gt;0,AM$7&gt;=$T73,AM$7&lt;$T73+$R73),$S73,0)+IF(AND($W73&gt;0,AM$7&gt;$X73,AM$7&lt;=$X73+p_AfschrLK),($V73+$W73)/p_AfschrLK,0)</f>
        <v>0</v>
      </c>
      <c r="AN73" s="23" t="n">
        <f aca="false">IF(AND($S73&gt;0,AN$7&gt;=$T73,AN$7&lt;$T73+$R73),$S73,0)+IF(AND($W73&gt;0,AN$7&gt;$X73,AN$7&lt;=$X73+p_AfschrLK),($V73+$W73)/p_AfschrLK,0)</f>
        <v>0</v>
      </c>
      <c r="AO73" s="23" t="n">
        <f aca="false">IF(AND($S73&gt;0,AO$7&gt;=$T73,AO$7&lt;$T73+$R73),$S73,0)+IF(AND($W73&gt;0,AO$7&gt;$X73,AO$7&lt;=$X73+p_AfschrLK),($V73+$W73)/p_AfschrLK,0)</f>
        <v>0</v>
      </c>
      <c r="AP73" s="23" t="n">
        <f aca="false">IF(AND($S73&gt;0,AP$7&gt;=$T73,AP$7&lt;$T73+$R73),$S73,0)+IF(AND($W73&gt;0,AP$7&gt;$X73,AP$7&lt;=$X73+p_AfschrLK),($V73+$W73)/p_AfschrLK,0)</f>
        <v>0</v>
      </c>
      <c r="AQ73" s="23" t="n">
        <f aca="false">IF(AND($S73&gt;0,AQ$7&gt;=$T73,AQ$7&lt;$T73+$R73),$S73,0)+IF(AND($W73&gt;0,AQ$7&gt;$X73,AQ$7&lt;=$X73+p_AfschrLK),($V73+$W73)/p_AfschrLK,0)</f>
        <v>0</v>
      </c>
    </row>
    <row r="74" customFormat="false" ht="15" hidden="false" customHeight="false" outlineLevel="0" collapsed="false">
      <c r="A74" s="20" t="str">
        <f aca="false">IF(INDEX('In gebruik'!$A:$A,ROW()+(-3))="","",INDEX('In gebruik'!$A:$A,ROW()+(-3)))</f>
        <v/>
      </c>
      <c r="B74" s="20" t="str">
        <f aca="false">IF($A74="","",INDEX('In gebruik'!$B:$B,ROW()+(-3))&amp;"")</f>
        <v/>
      </c>
      <c r="C74" s="20" t="str">
        <f aca="false">IF($A74="","",INDEX('In gebruik'!$H:$H,ROW()+(-3))&amp;"")</f>
        <v/>
      </c>
      <c r="D74" s="20" t="str">
        <f aca="false">IF($A74="","",INDEX('In gebruik'!$G:$G,ROW()+(-3))&amp;"")</f>
        <v/>
      </c>
      <c r="E74" s="20" t="str">
        <f aca="false">IF($A74="","",INDEX('In gebruik'!$U:$U,ROW()+(-3))&amp;"")</f>
        <v/>
      </c>
      <c r="F74" s="21" t="n">
        <f aca="false">IF($A74="",0,N(INDEX('In gebruik'!$J:$J,ROW()+(-3))))</f>
        <v>0</v>
      </c>
      <c r="G74" s="21" t="n">
        <f aca="false">IF($A74="",0,N(INDEX('In gebruik'!$K:$K,ROW()+(-3))))</f>
        <v>0</v>
      </c>
      <c r="H74" s="12" t="n">
        <f aca="false">IF(G74&gt;0,F74+G74-1,0)</f>
        <v>0</v>
      </c>
      <c r="I74" s="12" t="n">
        <f aca="false">IF($A74="",0,IF(N(INDEX('In gebruik'!$W:$W,ROW()+(-3)))&gt;0,N(INDEX('In gebruik'!$W:$W,ROW()+(-3))),IF(G74&gt;0,MAX(F74+G74,p_Start),0)))</f>
        <v>0</v>
      </c>
      <c r="J74" s="22" t="str">
        <f aca="false">IF($A74="","",IF(AND(G74&gt;0,F74+G74&lt;p_Start),"Over levensduur",IF(AND(I74&gt;0,I74&lt;=p_Start+3),"In begrotingsperiode","")))</f>
        <v/>
      </c>
      <c r="K74" s="23" t="n">
        <f aca="false">IF($E74="Lease-koop",p_Aanbet,0)</f>
        <v>0</v>
      </c>
      <c r="L74" s="23" t="n">
        <f aca="false">IF($E74="Lease-koop",p_Belet,0)</f>
        <v>0</v>
      </c>
      <c r="M74" s="23" t="n">
        <f aca="false">IF($E74="Lease-koop",p_Opbouw,0)</f>
        <v>0</v>
      </c>
      <c r="N74" s="23" t="n">
        <f aca="false">IF($E74="Lease-koop",p_Slot,0)</f>
        <v>0</v>
      </c>
      <c r="O74" s="12" t="n">
        <f aca="false">IF($E74="Lease-koop",I74+p_SlotJr,0)</f>
        <v>0</v>
      </c>
      <c r="P74" s="23" t="n">
        <f aca="false">IF($E74="Koop",N(INDEX('In gebruik'!$V:$V,ROW()+(-3))),0)</f>
        <v>0</v>
      </c>
      <c r="Q74" s="23" t="n">
        <f aca="false">K74+L74+M74+N74+P74</f>
        <v>0</v>
      </c>
      <c r="R74" s="12" t="n">
        <f aca="false">IF($E74="Lease-koop",p_AfschrLK,IF($E74="Koop",G74,0))</f>
        <v>0</v>
      </c>
      <c r="S74" s="23" t="n">
        <f aca="false">IF(R74&gt;0,Q74/R74,0)</f>
        <v>0</v>
      </c>
      <c r="T74" s="12" t="n">
        <f aca="false">IF($E74="Lease-koop",O74+1,IF($E74="Koop",I74+1,0))</f>
        <v>0</v>
      </c>
      <c r="U74" s="23" t="n">
        <f aca="false">IF($E74="Lease-koop",p_Lease,0)</f>
        <v>0</v>
      </c>
      <c r="V74" s="24" t="n">
        <f aca="false">IF($A74="",0,N(INDEX('In gebruik'!$R:$R,ROW()+(-3))))</f>
        <v>0</v>
      </c>
      <c r="W74" s="24" t="n">
        <f aca="false">IF($A74="",0,N(INDEX('In gebruik'!$S:$S,ROW()+(-3))))</f>
        <v>0</v>
      </c>
      <c r="X74" s="21" t="n">
        <f aca="false">IF(W74&gt;0,N(INDEX('In gebruik'!$T:$T,ROW()+(-3))),0)</f>
        <v>0</v>
      </c>
      <c r="Y74" s="24" t="n">
        <f aca="false">IF(W74&gt;0,IF(N(INDEX('In gebruik'!$P:$P,ROW()+(-3)))&gt;0,N(INDEX('In gebruik'!$P:$P,ROW()+(-3))),p_Lease),0)</f>
        <v>0</v>
      </c>
      <c r="AA74" s="23" t="n">
        <f aca="false">IF($Q74+$W74=0,0,IF(AA$7=$I74,$K74+$L74+$M74+$P74,0)+IF(AA$7=$O74,$N74,0)+IF(AA$7=$X74,$W74,0))</f>
        <v>0</v>
      </c>
      <c r="AB74" s="23" t="n">
        <f aca="false">IF($Q74+$W74=0,0,IF(AB$7=$I74,$K74+$L74+$M74+$P74,0)+IF(AB$7=$O74,$N74,0)+IF(AB$7=$X74,$W74,0))</f>
        <v>0</v>
      </c>
      <c r="AC74" s="23" t="n">
        <f aca="false">IF($Q74+$W74=0,0,IF(AC$7=$I74,$K74+$L74+$M74+$P74,0)+IF(AC$7=$O74,$N74,0)+IF(AC$7=$X74,$W74,0))</f>
        <v>0</v>
      </c>
      <c r="AD74" s="23" t="n">
        <f aca="false">IF($Q74+$W74=0,0,IF(AD$7=$I74,$K74+$L74+$M74+$P74,0)+IF(AD$7=$O74,$N74,0)+IF(AD$7=$X74,$W74,0))</f>
        <v>0</v>
      </c>
      <c r="AE74" s="23" t="n">
        <f aca="false">IF($Q74+$W74=0,0,IF(AE$7=$I74,$K74+$L74+$M74+$P74,0)+IF(AE$7=$O74,$N74,0)+IF(AE$7=$X74,$W74,0))</f>
        <v>0</v>
      </c>
      <c r="AF74" s="23" t="n">
        <f aca="false">IF($Q74+$W74=0,0,IF(AF$7=$I74,$K74+$L74+$M74+$P74,0)+IF(AF$7=$O74,$N74,0)+IF(AF$7=$X74,$W74,0))</f>
        <v>0</v>
      </c>
      <c r="AG74" s="23" t="n">
        <f aca="false">IF($Q74+$W74=0,0,IF(AG$7=$I74,$K74+$L74+$M74+$P74,0)+IF(AG$7=$O74,$N74,0)+IF(AG$7=$X74,$W74,0))</f>
        <v>0</v>
      </c>
      <c r="AH74" s="23" t="n">
        <f aca="false">IF($Q74+$W74=0,0,IF(AH$7=$I74,$K74+$L74+$M74+$P74,0)+IF(AH$7=$O74,$N74,0)+IF(AH$7=$X74,$W74,0))</f>
        <v>0</v>
      </c>
      <c r="AJ74" s="23" t="n">
        <f aca="false">IF(AND($S74&gt;0,AJ$7&gt;=$T74,AJ$7&lt;$T74+$R74),$S74,0)+IF(AND($W74&gt;0,AJ$7&gt;$X74,AJ$7&lt;=$X74+p_AfschrLK),($V74+$W74)/p_AfschrLK,0)</f>
        <v>0</v>
      </c>
      <c r="AK74" s="23" t="n">
        <f aca="false">IF(AND($S74&gt;0,AK$7&gt;=$T74,AK$7&lt;$T74+$R74),$S74,0)+IF(AND($W74&gt;0,AK$7&gt;$X74,AK$7&lt;=$X74+p_AfschrLK),($V74+$W74)/p_AfschrLK,0)</f>
        <v>0</v>
      </c>
      <c r="AL74" s="23" t="n">
        <f aca="false">IF(AND($S74&gt;0,AL$7&gt;=$T74,AL$7&lt;$T74+$R74),$S74,0)+IF(AND($W74&gt;0,AL$7&gt;$X74,AL$7&lt;=$X74+p_AfschrLK),($V74+$W74)/p_AfschrLK,0)</f>
        <v>0</v>
      </c>
      <c r="AM74" s="23" t="n">
        <f aca="false">IF(AND($S74&gt;0,AM$7&gt;=$T74,AM$7&lt;$T74+$R74),$S74,0)+IF(AND($W74&gt;0,AM$7&gt;$X74,AM$7&lt;=$X74+p_AfschrLK),($V74+$W74)/p_AfschrLK,0)</f>
        <v>0</v>
      </c>
      <c r="AN74" s="23" t="n">
        <f aca="false">IF(AND($S74&gt;0,AN$7&gt;=$T74,AN$7&lt;$T74+$R74),$S74,0)+IF(AND($W74&gt;0,AN$7&gt;$X74,AN$7&lt;=$X74+p_AfschrLK),($V74+$W74)/p_AfschrLK,0)</f>
        <v>0</v>
      </c>
      <c r="AO74" s="23" t="n">
        <f aca="false">IF(AND($S74&gt;0,AO$7&gt;=$T74,AO$7&lt;$T74+$R74),$S74,0)+IF(AND($W74&gt;0,AO$7&gt;$X74,AO$7&lt;=$X74+p_AfschrLK),($V74+$W74)/p_AfschrLK,0)</f>
        <v>0</v>
      </c>
      <c r="AP74" s="23" t="n">
        <f aca="false">IF(AND($S74&gt;0,AP$7&gt;=$T74,AP$7&lt;$T74+$R74),$S74,0)+IF(AND($W74&gt;0,AP$7&gt;$X74,AP$7&lt;=$X74+p_AfschrLK),($V74+$W74)/p_AfschrLK,0)</f>
        <v>0</v>
      </c>
      <c r="AQ74" s="23" t="n">
        <f aca="false">IF(AND($S74&gt;0,AQ$7&gt;=$T74,AQ$7&lt;$T74+$R74),$S74,0)+IF(AND($W74&gt;0,AQ$7&gt;$X74,AQ$7&lt;=$X74+p_AfschrLK),($V74+$W74)/p_AfschrLK,0)</f>
        <v>0</v>
      </c>
    </row>
    <row r="75" customFormat="false" ht="15" hidden="false" customHeight="false" outlineLevel="0" collapsed="false">
      <c r="A75" s="20" t="str">
        <f aca="false">IF(INDEX('In gebruik'!$A:$A,ROW()+(-3))="","",INDEX('In gebruik'!$A:$A,ROW()+(-3)))</f>
        <v/>
      </c>
      <c r="B75" s="20" t="str">
        <f aca="false">IF($A75="","",INDEX('In gebruik'!$B:$B,ROW()+(-3))&amp;"")</f>
        <v/>
      </c>
      <c r="C75" s="20" t="str">
        <f aca="false">IF($A75="","",INDEX('In gebruik'!$H:$H,ROW()+(-3))&amp;"")</f>
        <v/>
      </c>
      <c r="D75" s="20" t="str">
        <f aca="false">IF($A75="","",INDEX('In gebruik'!$G:$G,ROW()+(-3))&amp;"")</f>
        <v/>
      </c>
      <c r="E75" s="20" t="str">
        <f aca="false">IF($A75="","",INDEX('In gebruik'!$U:$U,ROW()+(-3))&amp;"")</f>
        <v/>
      </c>
      <c r="F75" s="21" t="n">
        <f aca="false">IF($A75="",0,N(INDEX('In gebruik'!$J:$J,ROW()+(-3))))</f>
        <v>0</v>
      </c>
      <c r="G75" s="21" t="n">
        <f aca="false">IF($A75="",0,N(INDEX('In gebruik'!$K:$K,ROW()+(-3))))</f>
        <v>0</v>
      </c>
      <c r="H75" s="12" t="n">
        <f aca="false">IF(G75&gt;0,F75+G75-1,0)</f>
        <v>0</v>
      </c>
      <c r="I75" s="12" t="n">
        <f aca="false">IF($A75="",0,IF(N(INDEX('In gebruik'!$W:$W,ROW()+(-3)))&gt;0,N(INDEX('In gebruik'!$W:$W,ROW()+(-3))),IF(G75&gt;0,MAX(F75+G75,p_Start),0)))</f>
        <v>0</v>
      </c>
      <c r="J75" s="22" t="str">
        <f aca="false">IF($A75="","",IF(AND(G75&gt;0,F75+G75&lt;p_Start),"Over levensduur",IF(AND(I75&gt;0,I75&lt;=p_Start+3),"In begrotingsperiode","")))</f>
        <v/>
      </c>
      <c r="K75" s="23" t="n">
        <f aca="false">IF($E75="Lease-koop",p_Aanbet,0)</f>
        <v>0</v>
      </c>
      <c r="L75" s="23" t="n">
        <f aca="false">IF($E75="Lease-koop",p_Belet,0)</f>
        <v>0</v>
      </c>
      <c r="M75" s="23" t="n">
        <f aca="false">IF($E75="Lease-koop",p_Opbouw,0)</f>
        <v>0</v>
      </c>
      <c r="N75" s="23" t="n">
        <f aca="false">IF($E75="Lease-koop",p_Slot,0)</f>
        <v>0</v>
      </c>
      <c r="O75" s="12" t="n">
        <f aca="false">IF($E75="Lease-koop",I75+p_SlotJr,0)</f>
        <v>0</v>
      </c>
      <c r="P75" s="23" t="n">
        <f aca="false">IF($E75="Koop",N(INDEX('In gebruik'!$V:$V,ROW()+(-3))),0)</f>
        <v>0</v>
      </c>
      <c r="Q75" s="23" t="n">
        <f aca="false">K75+L75+M75+N75+P75</f>
        <v>0</v>
      </c>
      <c r="R75" s="12" t="n">
        <f aca="false">IF($E75="Lease-koop",p_AfschrLK,IF($E75="Koop",G75,0))</f>
        <v>0</v>
      </c>
      <c r="S75" s="23" t="n">
        <f aca="false">IF(R75&gt;0,Q75/R75,0)</f>
        <v>0</v>
      </c>
      <c r="T75" s="12" t="n">
        <f aca="false">IF($E75="Lease-koop",O75+1,IF($E75="Koop",I75+1,0))</f>
        <v>0</v>
      </c>
      <c r="U75" s="23" t="n">
        <f aca="false">IF($E75="Lease-koop",p_Lease,0)</f>
        <v>0</v>
      </c>
      <c r="V75" s="24" t="n">
        <f aca="false">IF($A75="",0,N(INDEX('In gebruik'!$R:$R,ROW()+(-3))))</f>
        <v>0</v>
      </c>
      <c r="W75" s="24" t="n">
        <f aca="false">IF($A75="",0,N(INDEX('In gebruik'!$S:$S,ROW()+(-3))))</f>
        <v>0</v>
      </c>
      <c r="X75" s="21" t="n">
        <f aca="false">IF(W75&gt;0,N(INDEX('In gebruik'!$T:$T,ROW()+(-3))),0)</f>
        <v>0</v>
      </c>
      <c r="Y75" s="24" t="n">
        <f aca="false">IF(W75&gt;0,IF(N(INDEX('In gebruik'!$P:$P,ROW()+(-3)))&gt;0,N(INDEX('In gebruik'!$P:$P,ROW()+(-3))),p_Lease),0)</f>
        <v>0</v>
      </c>
      <c r="AA75" s="23" t="n">
        <f aca="false">IF($Q75+$W75=0,0,IF(AA$7=$I75,$K75+$L75+$M75+$P75,0)+IF(AA$7=$O75,$N75,0)+IF(AA$7=$X75,$W75,0))</f>
        <v>0</v>
      </c>
      <c r="AB75" s="23" t="n">
        <f aca="false">IF($Q75+$W75=0,0,IF(AB$7=$I75,$K75+$L75+$M75+$P75,0)+IF(AB$7=$O75,$N75,0)+IF(AB$7=$X75,$W75,0))</f>
        <v>0</v>
      </c>
      <c r="AC75" s="23" t="n">
        <f aca="false">IF($Q75+$W75=0,0,IF(AC$7=$I75,$K75+$L75+$M75+$P75,0)+IF(AC$7=$O75,$N75,0)+IF(AC$7=$X75,$W75,0))</f>
        <v>0</v>
      </c>
      <c r="AD75" s="23" t="n">
        <f aca="false">IF($Q75+$W75=0,0,IF(AD$7=$I75,$K75+$L75+$M75+$P75,0)+IF(AD$7=$O75,$N75,0)+IF(AD$7=$X75,$W75,0))</f>
        <v>0</v>
      </c>
      <c r="AE75" s="23" t="n">
        <f aca="false">IF($Q75+$W75=0,0,IF(AE$7=$I75,$K75+$L75+$M75+$P75,0)+IF(AE$7=$O75,$N75,0)+IF(AE$7=$X75,$W75,0))</f>
        <v>0</v>
      </c>
      <c r="AF75" s="23" t="n">
        <f aca="false">IF($Q75+$W75=0,0,IF(AF$7=$I75,$K75+$L75+$M75+$P75,0)+IF(AF$7=$O75,$N75,0)+IF(AF$7=$X75,$W75,0))</f>
        <v>0</v>
      </c>
      <c r="AG75" s="23" t="n">
        <f aca="false">IF($Q75+$W75=0,0,IF(AG$7=$I75,$K75+$L75+$M75+$P75,0)+IF(AG$7=$O75,$N75,0)+IF(AG$7=$X75,$W75,0))</f>
        <v>0</v>
      </c>
      <c r="AH75" s="23" t="n">
        <f aca="false">IF($Q75+$W75=0,0,IF(AH$7=$I75,$K75+$L75+$M75+$P75,0)+IF(AH$7=$O75,$N75,0)+IF(AH$7=$X75,$W75,0))</f>
        <v>0</v>
      </c>
      <c r="AJ75" s="23" t="n">
        <f aca="false">IF(AND($S75&gt;0,AJ$7&gt;=$T75,AJ$7&lt;$T75+$R75),$S75,0)+IF(AND($W75&gt;0,AJ$7&gt;$X75,AJ$7&lt;=$X75+p_AfschrLK),($V75+$W75)/p_AfschrLK,0)</f>
        <v>0</v>
      </c>
      <c r="AK75" s="23" t="n">
        <f aca="false">IF(AND($S75&gt;0,AK$7&gt;=$T75,AK$7&lt;$T75+$R75),$S75,0)+IF(AND($W75&gt;0,AK$7&gt;$X75,AK$7&lt;=$X75+p_AfschrLK),($V75+$W75)/p_AfschrLK,0)</f>
        <v>0</v>
      </c>
      <c r="AL75" s="23" t="n">
        <f aca="false">IF(AND($S75&gt;0,AL$7&gt;=$T75,AL$7&lt;$T75+$R75),$S75,0)+IF(AND($W75&gt;0,AL$7&gt;$X75,AL$7&lt;=$X75+p_AfschrLK),($V75+$W75)/p_AfschrLK,0)</f>
        <v>0</v>
      </c>
      <c r="AM75" s="23" t="n">
        <f aca="false">IF(AND($S75&gt;0,AM$7&gt;=$T75,AM$7&lt;$T75+$R75),$S75,0)+IF(AND($W75&gt;0,AM$7&gt;$X75,AM$7&lt;=$X75+p_AfschrLK),($V75+$W75)/p_AfschrLK,0)</f>
        <v>0</v>
      </c>
      <c r="AN75" s="23" t="n">
        <f aca="false">IF(AND($S75&gt;0,AN$7&gt;=$T75,AN$7&lt;$T75+$R75),$S75,0)+IF(AND($W75&gt;0,AN$7&gt;$X75,AN$7&lt;=$X75+p_AfschrLK),($V75+$W75)/p_AfschrLK,0)</f>
        <v>0</v>
      </c>
      <c r="AO75" s="23" t="n">
        <f aca="false">IF(AND($S75&gt;0,AO$7&gt;=$T75,AO$7&lt;$T75+$R75),$S75,0)+IF(AND($W75&gt;0,AO$7&gt;$X75,AO$7&lt;=$X75+p_AfschrLK),($V75+$W75)/p_AfschrLK,0)</f>
        <v>0</v>
      </c>
      <c r="AP75" s="23" t="n">
        <f aca="false">IF(AND($S75&gt;0,AP$7&gt;=$T75,AP$7&lt;$T75+$R75),$S75,0)+IF(AND($W75&gt;0,AP$7&gt;$X75,AP$7&lt;=$X75+p_AfschrLK),($V75+$W75)/p_AfschrLK,0)</f>
        <v>0</v>
      </c>
      <c r="AQ75" s="23" t="n">
        <f aca="false">IF(AND($S75&gt;0,AQ$7&gt;=$T75,AQ$7&lt;$T75+$R75),$S75,0)+IF(AND($W75&gt;0,AQ$7&gt;$X75,AQ$7&lt;=$X75+p_AfschrLK),($V75+$W75)/p_AfschrLK,0)</f>
        <v>0</v>
      </c>
    </row>
    <row r="76" customFormat="false" ht="15" hidden="false" customHeight="false" outlineLevel="0" collapsed="false">
      <c r="A76" s="20" t="str">
        <f aca="false">IF(INDEX('In gebruik'!$A:$A,ROW()+(-3))="","",INDEX('In gebruik'!$A:$A,ROW()+(-3)))</f>
        <v/>
      </c>
      <c r="B76" s="20" t="str">
        <f aca="false">IF($A76="","",INDEX('In gebruik'!$B:$B,ROW()+(-3))&amp;"")</f>
        <v/>
      </c>
      <c r="C76" s="20" t="str">
        <f aca="false">IF($A76="","",INDEX('In gebruik'!$H:$H,ROW()+(-3))&amp;"")</f>
        <v/>
      </c>
      <c r="D76" s="20" t="str">
        <f aca="false">IF($A76="","",INDEX('In gebruik'!$G:$G,ROW()+(-3))&amp;"")</f>
        <v/>
      </c>
      <c r="E76" s="20" t="str">
        <f aca="false">IF($A76="","",INDEX('In gebruik'!$U:$U,ROW()+(-3))&amp;"")</f>
        <v/>
      </c>
      <c r="F76" s="21" t="n">
        <f aca="false">IF($A76="",0,N(INDEX('In gebruik'!$J:$J,ROW()+(-3))))</f>
        <v>0</v>
      </c>
      <c r="G76" s="21" t="n">
        <f aca="false">IF($A76="",0,N(INDEX('In gebruik'!$K:$K,ROW()+(-3))))</f>
        <v>0</v>
      </c>
      <c r="H76" s="12" t="n">
        <f aca="false">IF(G76&gt;0,F76+G76-1,0)</f>
        <v>0</v>
      </c>
      <c r="I76" s="12" t="n">
        <f aca="false">IF($A76="",0,IF(N(INDEX('In gebruik'!$W:$W,ROW()+(-3)))&gt;0,N(INDEX('In gebruik'!$W:$W,ROW()+(-3))),IF(G76&gt;0,MAX(F76+G76,p_Start),0)))</f>
        <v>0</v>
      </c>
      <c r="J76" s="22" t="str">
        <f aca="false">IF($A76="","",IF(AND(G76&gt;0,F76+G76&lt;p_Start),"Over levensduur",IF(AND(I76&gt;0,I76&lt;=p_Start+3),"In begrotingsperiode","")))</f>
        <v/>
      </c>
      <c r="K76" s="23" t="n">
        <f aca="false">IF($E76="Lease-koop",p_Aanbet,0)</f>
        <v>0</v>
      </c>
      <c r="L76" s="23" t="n">
        <f aca="false">IF($E76="Lease-koop",p_Belet,0)</f>
        <v>0</v>
      </c>
      <c r="M76" s="23" t="n">
        <f aca="false">IF($E76="Lease-koop",p_Opbouw,0)</f>
        <v>0</v>
      </c>
      <c r="N76" s="23" t="n">
        <f aca="false">IF($E76="Lease-koop",p_Slot,0)</f>
        <v>0</v>
      </c>
      <c r="O76" s="12" t="n">
        <f aca="false">IF($E76="Lease-koop",I76+p_SlotJr,0)</f>
        <v>0</v>
      </c>
      <c r="P76" s="23" t="n">
        <f aca="false">IF($E76="Koop",N(INDEX('In gebruik'!$V:$V,ROW()+(-3))),0)</f>
        <v>0</v>
      </c>
      <c r="Q76" s="23" t="n">
        <f aca="false">K76+L76+M76+N76+P76</f>
        <v>0</v>
      </c>
      <c r="R76" s="12" t="n">
        <f aca="false">IF($E76="Lease-koop",p_AfschrLK,IF($E76="Koop",G76,0))</f>
        <v>0</v>
      </c>
      <c r="S76" s="23" t="n">
        <f aca="false">IF(R76&gt;0,Q76/R76,0)</f>
        <v>0</v>
      </c>
      <c r="T76" s="12" t="n">
        <f aca="false">IF($E76="Lease-koop",O76+1,IF($E76="Koop",I76+1,0))</f>
        <v>0</v>
      </c>
      <c r="U76" s="23" t="n">
        <f aca="false">IF($E76="Lease-koop",p_Lease,0)</f>
        <v>0</v>
      </c>
      <c r="V76" s="24" t="n">
        <f aca="false">IF($A76="",0,N(INDEX('In gebruik'!$R:$R,ROW()+(-3))))</f>
        <v>0</v>
      </c>
      <c r="W76" s="24" t="n">
        <f aca="false">IF($A76="",0,N(INDEX('In gebruik'!$S:$S,ROW()+(-3))))</f>
        <v>0</v>
      </c>
      <c r="X76" s="21" t="n">
        <f aca="false">IF(W76&gt;0,N(INDEX('In gebruik'!$T:$T,ROW()+(-3))),0)</f>
        <v>0</v>
      </c>
      <c r="Y76" s="24" t="n">
        <f aca="false">IF(W76&gt;0,IF(N(INDEX('In gebruik'!$P:$P,ROW()+(-3)))&gt;0,N(INDEX('In gebruik'!$P:$P,ROW()+(-3))),p_Lease),0)</f>
        <v>0</v>
      </c>
      <c r="AA76" s="23" t="n">
        <f aca="false">IF($Q76+$W76=0,0,IF(AA$7=$I76,$K76+$L76+$M76+$P76,0)+IF(AA$7=$O76,$N76,0)+IF(AA$7=$X76,$W76,0))</f>
        <v>0</v>
      </c>
      <c r="AB76" s="23" t="n">
        <f aca="false">IF($Q76+$W76=0,0,IF(AB$7=$I76,$K76+$L76+$M76+$P76,0)+IF(AB$7=$O76,$N76,0)+IF(AB$7=$X76,$W76,0))</f>
        <v>0</v>
      </c>
      <c r="AC76" s="23" t="n">
        <f aca="false">IF($Q76+$W76=0,0,IF(AC$7=$I76,$K76+$L76+$M76+$P76,0)+IF(AC$7=$O76,$N76,0)+IF(AC$7=$X76,$W76,0))</f>
        <v>0</v>
      </c>
      <c r="AD76" s="23" t="n">
        <f aca="false">IF($Q76+$W76=0,0,IF(AD$7=$I76,$K76+$L76+$M76+$P76,0)+IF(AD$7=$O76,$N76,0)+IF(AD$7=$X76,$W76,0))</f>
        <v>0</v>
      </c>
      <c r="AE76" s="23" t="n">
        <f aca="false">IF($Q76+$W76=0,0,IF(AE$7=$I76,$K76+$L76+$M76+$P76,0)+IF(AE$7=$O76,$N76,0)+IF(AE$7=$X76,$W76,0))</f>
        <v>0</v>
      </c>
      <c r="AF76" s="23" t="n">
        <f aca="false">IF($Q76+$W76=0,0,IF(AF$7=$I76,$K76+$L76+$M76+$P76,0)+IF(AF$7=$O76,$N76,0)+IF(AF$7=$X76,$W76,0))</f>
        <v>0</v>
      </c>
      <c r="AG76" s="23" t="n">
        <f aca="false">IF($Q76+$W76=0,0,IF(AG$7=$I76,$K76+$L76+$M76+$P76,0)+IF(AG$7=$O76,$N76,0)+IF(AG$7=$X76,$W76,0))</f>
        <v>0</v>
      </c>
      <c r="AH76" s="23" t="n">
        <f aca="false">IF($Q76+$W76=0,0,IF(AH$7=$I76,$K76+$L76+$M76+$P76,0)+IF(AH$7=$O76,$N76,0)+IF(AH$7=$X76,$W76,0))</f>
        <v>0</v>
      </c>
      <c r="AJ76" s="23" t="n">
        <f aca="false">IF(AND($S76&gt;0,AJ$7&gt;=$T76,AJ$7&lt;$T76+$R76),$S76,0)+IF(AND($W76&gt;0,AJ$7&gt;$X76,AJ$7&lt;=$X76+p_AfschrLK),($V76+$W76)/p_AfschrLK,0)</f>
        <v>0</v>
      </c>
      <c r="AK76" s="23" t="n">
        <f aca="false">IF(AND($S76&gt;0,AK$7&gt;=$T76,AK$7&lt;$T76+$R76),$S76,0)+IF(AND($W76&gt;0,AK$7&gt;$X76,AK$7&lt;=$X76+p_AfschrLK),($V76+$W76)/p_AfschrLK,0)</f>
        <v>0</v>
      </c>
      <c r="AL76" s="23" t="n">
        <f aca="false">IF(AND($S76&gt;0,AL$7&gt;=$T76,AL$7&lt;$T76+$R76),$S76,0)+IF(AND($W76&gt;0,AL$7&gt;$X76,AL$7&lt;=$X76+p_AfschrLK),($V76+$W76)/p_AfschrLK,0)</f>
        <v>0</v>
      </c>
      <c r="AM76" s="23" t="n">
        <f aca="false">IF(AND($S76&gt;0,AM$7&gt;=$T76,AM$7&lt;$T76+$R76),$S76,0)+IF(AND($W76&gt;0,AM$7&gt;$X76,AM$7&lt;=$X76+p_AfschrLK),($V76+$W76)/p_AfschrLK,0)</f>
        <v>0</v>
      </c>
      <c r="AN76" s="23" t="n">
        <f aca="false">IF(AND($S76&gt;0,AN$7&gt;=$T76,AN$7&lt;$T76+$R76),$S76,0)+IF(AND($W76&gt;0,AN$7&gt;$X76,AN$7&lt;=$X76+p_AfschrLK),($V76+$W76)/p_AfschrLK,0)</f>
        <v>0</v>
      </c>
      <c r="AO76" s="23" t="n">
        <f aca="false">IF(AND($S76&gt;0,AO$7&gt;=$T76,AO$7&lt;$T76+$R76),$S76,0)+IF(AND($W76&gt;0,AO$7&gt;$X76,AO$7&lt;=$X76+p_AfschrLK),($V76+$W76)/p_AfschrLK,0)</f>
        <v>0</v>
      </c>
      <c r="AP76" s="23" t="n">
        <f aca="false">IF(AND($S76&gt;0,AP$7&gt;=$T76,AP$7&lt;$T76+$R76),$S76,0)+IF(AND($W76&gt;0,AP$7&gt;$X76,AP$7&lt;=$X76+p_AfschrLK),($V76+$W76)/p_AfschrLK,0)</f>
        <v>0</v>
      </c>
      <c r="AQ76" s="23" t="n">
        <f aca="false">IF(AND($S76&gt;0,AQ$7&gt;=$T76,AQ$7&lt;$T76+$R76),$S76,0)+IF(AND($W76&gt;0,AQ$7&gt;$X76,AQ$7&lt;=$X76+p_AfschrLK),($V76+$W76)/p_AfschrLK,0)</f>
        <v>0</v>
      </c>
    </row>
    <row r="77" customFormat="false" ht="15" hidden="false" customHeight="false" outlineLevel="0" collapsed="false">
      <c r="A77" s="20" t="str">
        <f aca="false">IF(INDEX('In gebruik'!$A:$A,ROW()+(-3))="","",INDEX('In gebruik'!$A:$A,ROW()+(-3)))</f>
        <v/>
      </c>
      <c r="B77" s="20" t="str">
        <f aca="false">IF($A77="","",INDEX('In gebruik'!$B:$B,ROW()+(-3))&amp;"")</f>
        <v/>
      </c>
      <c r="C77" s="20" t="str">
        <f aca="false">IF($A77="","",INDEX('In gebruik'!$H:$H,ROW()+(-3))&amp;"")</f>
        <v/>
      </c>
      <c r="D77" s="20" t="str">
        <f aca="false">IF($A77="","",INDEX('In gebruik'!$G:$G,ROW()+(-3))&amp;"")</f>
        <v/>
      </c>
      <c r="E77" s="20" t="str">
        <f aca="false">IF($A77="","",INDEX('In gebruik'!$U:$U,ROW()+(-3))&amp;"")</f>
        <v/>
      </c>
      <c r="F77" s="21" t="n">
        <f aca="false">IF($A77="",0,N(INDEX('In gebruik'!$J:$J,ROW()+(-3))))</f>
        <v>0</v>
      </c>
      <c r="G77" s="21" t="n">
        <f aca="false">IF($A77="",0,N(INDEX('In gebruik'!$K:$K,ROW()+(-3))))</f>
        <v>0</v>
      </c>
      <c r="H77" s="12" t="n">
        <f aca="false">IF(G77&gt;0,F77+G77-1,0)</f>
        <v>0</v>
      </c>
      <c r="I77" s="12" t="n">
        <f aca="false">IF($A77="",0,IF(N(INDEX('In gebruik'!$W:$W,ROW()+(-3)))&gt;0,N(INDEX('In gebruik'!$W:$W,ROW()+(-3))),IF(G77&gt;0,MAX(F77+G77,p_Start),0)))</f>
        <v>0</v>
      </c>
      <c r="J77" s="22" t="str">
        <f aca="false">IF($A77="","",IF(AND(G77&gt;0,F77+G77&lt;p_Start),"Over levensduur",IF(AND(I77&gt;0,I77&lt;=p_Start+3),"In begrotingsperiode","")))</f>
        <v/>
      </c>
      <c r="K77" s="23" t="n">
        <f aca="false">IF($E77="Lease-koop",p_Aanbet,0)</f>
        <v>0</v>
      </c>
      <c r="L77" s="23" t="n">
        <f aca="false">IF($E77="Lease-koop",p_Belet,0)</f>
        <v>0</v>
      </c>
      <c r="M77" s="23" t="n">
        <f aca="false">IF($E77="Lease-koop",p_Opbouw,0)</f>
        <v>0</v>
      </c>
      <c r="N77" s="23" t="n">
        <f aca="false">IF($E77="Lease-koop",p_Slot,0)</f>
        <v>0</v>
      </c>
      <c r="O77" s="12" t="n">
        <f aca="false">IF($E77="Lease-koop",I77+p_SlotJr,0)</f>
        <v>0</v>
      </c>
      <c r="P77" s="23" t="n">
        <f aca="false">IF($E77="Koop",N(INDEX('In gebruik'!$V:$V,ROW()+(-3))),0)</f>
        <v>0</v>
      </c>
      <c r="Q77" s="23" t="n">
        <f aca="false">K77+L77+M77+N77+P77</f>
        <v>0</v>
      </c>
      <c r="R77" s="12" t="n">
        <f aca="false">IF($E77="Lease-koop",p_AfschrLK,IF($E77="Koop",G77,0))</f>
        <v>0</v>
      </c>
      <c r="S77" s="23" t="n">
        <f aca="false">IF(R77&gt;0,Q77/R77,0)</f>
        <v>0</v>
      </c>
      <c r="T77" s="12" t="n">
        <f aca="false">IF($E77="Lease-koop",O77+1,IF($E77="Koop",I77+1,0))</f>
        <v>0</v>
      </c>
      <c r="U77" s="23" t="n">
        <f aca="false">IF($E77="Lease-koop",p_Lease,0)</f>
        <v>0</v>
      </c>
      <c r="V77" s="24" t="n">
        <f aca="false">IF($A77="",0,N(INDEX('In gebruik'!$R:$R,ROW()+(-3))))</f>
        <v>0</v>
      </c>
      <c r="W77" s="24" t="n">
        <f aca="false">IF($A77="",0,N(INDEX('In gebruik'!$S:$S,ROW()+(-3))))</f>
        <v>0</v>
      </c>
      <c r="X77" s="21" t="n">
        <f aca="false">IF(W77&gt;0,N(INDEX('In gebruik'!$T:$T,ROW()+(-3))),0)</f>
        <v>0</v>
      </c>
      <c r="Y77" s="24" t="n">
        <f aca="false">IF(W77&gt;0,IF(N(INDEX('In gebruik'!$P:$P,ROW()+(-3)))&gt;0,N(INDEX('In gebruik'!$P:$P,ROW()+(-3))),p_Lease),0)</f>
        <v>0</v>
      </c>
      <c r="AA77" s="23" t="n">
        <f aca="false">IF($Q77+$W77=0,0,IF(AA$7=$I77,$K77+$L77+$M77+$P77,0)+IF(AA$7=$O77,$N77,0)+IF(AA$7=$X77,$W77,0))</f>
        <v>0</v>
      </c>
      <c r="AB77" s="23" t="n">
        <f aca="false">IF($Q77+$W77=0,0,IF(AB$7=$I77,$K77+$L77+$M77+$P77,0)+IF(AB$7=$O77,$N77,0)+IF(AB$7=$X77,$W77,0))</f>
        <v>0</v>
      </c>
      <c r="AC77" s="23" t="n">
        <f aca="false">IF($Q77+$W77=0,0,IF(AC$7=$I77,$K77+$L77+$M77+$P77,0)+IF(AC$7=$O77,$N77,0)+IF(AC$7=$X77,$W77,0))</f>
        <v>0</v>
      </c>
      <c r="AD77" s="23" t="n">
        <f aca="false">IF($Q77+$W77=0,0,IF(AD$7=$I77,$K77+$L77+$M77+$P77,0)+IF(AD$7=$O77,$N77,0)+IF(AD$7=$X77,$W77,0))</f>
        <v>0</v>
      </c>
      <c r="AE77" s="23" t="n">
        <f aca="false">IF($Q77+$W77=0,0,IF(AE$7=$I77,$K77+$L77+$M77+$P77,0)+IF(AE$7=$O77,$N77,0)+IF(AE$7=$X77,$W77,0))</f>
        <v>0</v>
      </c>
      <c r="AF77" s="23" t="n">
        <f aca="false">IF($Q77+$W77=0,0,IF(AF$7=$I77,$K77+$L77+$M77+$P77,0)+IF(AF$7=$O77,$N77,0)+IF(AF$7=$X77,$W77,0))</f>
        <v>0</v>
      </c>
      <c r="AG77" s="23" t="n">
        <f aca="false">IF($Q77+$W77=0,0,IF(AG$7=$I77,$K77+$L77+$M77+$P77,0)+IF(AG$7=$O77,$N77,0)+IF(AG$7=$X77,$W77,0))</f>
        <v>0</v>
      </c>
      <c r="AH77" s="23" t="n">
        <f aca="false">IF($Q77+$W77=0,0,IF(AH$7=$I77,$K77+$L77+$M77+$P77,0)+IF(AH$7=$O77,$N77,0)+IF(AH$7=$X77,$W77,0))</f>
        <v>0</v>
      </c>
      <c r="AJ77" s="23" t="n">
        <f aca="false">IF(AND($S77&gt;0,AJ$7&gt;=$T77,AJ$7&lt;$T77+$R77),$S77,0)+IF(AND($W77&gt;0,AJ$7&gt;$X77,AJ$7&lt;=$X77+p_AfschrLK),($V77+$W77)/p_AfschrLK,0)</f>
        <v>0</v>
      </c>
      <c r="AK77" s="23" t="n">
        <f aca="false">IF(AND($S77&gt;0,AK$7&gt;=$T77,AK$7&lt;$T77+$R77),$S77,0)+IF(AND($W77&gt;0,AK$7&gt;$X77,AK$7&lt;=$X77+p_AfschrLK),($V77+$W77)/p_AfschrLK,0)</f>
        <v>0</v>
      </c>
      <c r="AL77" s="23" t="n">
        <f aca="false">IF(AND($S77&gt;0,AL$7&gt;=$T77,AL$7&lt;$T77+$R77),$S77,0)+IF(AND($W77&gt;0,AL$7&gt;$X77,AL$7&lt;=$X77+p_AfschrLK),($V77+$W77)/p_AfschrLK,0)</f>
        <v>0</v>
      </c>
      <c r="AM77" s="23" t="n">
        <f aca="false">IF(AND($S77&gt;0,AM$7&gt;=$T77,AM$7&lt;$T77+$R77),$S77,0)+IF(AND($W77&gt;0,AM$7&gt;$X77,AM$7&lt;=$X77+p_AfschrLK),($V77+$W77)/p_AfschrLK,0)</f>
        <v>0</v>
      </c>
      <c r="AN77" s="23" t="n">
        <f aca="false">IF(AND($S77&gt;0,AN$7&gt;=$T77,AN$7&lt;$T77+$R77),$S77,0)+IF(AND($W77&gt;0,AN$7&gt;$X77,AN$7&lt;=$X77+p_AfschrLK),($V77+$W77)/p_AfschrLK,0)</f>
        <v>0</v>
      </c>
      <c r="AO77" s="23" t="n">
        <f aca="false">IF(AND($S77&gt;0,AO$7&gt;=$T77,AO$7&lt;$T77+$R77),$S77,0)+IF(AND($W77&gt;0,AO$7&gt;$X77,AO$7&lt;=$X77+p_AfschrLK),($V77+$W77)/p_AfschrLK,0)</f>
        <v>0</v>
      </c>
      <c r="AP77" s="23" t="n">
        <f aca="false">IF(AND($S77&gt;0,AP$7&gt;=$T77,AP$7&lt;$T77+$R77),$S77,0)+IF(AND($W77&gt;0,AP$7&gt;$X77,AP$7&lt;=$X77+p_AfschrLK),($V77+$W77)/p_AfschrLK,0)</f>
        <v>0</v>
      </c>
      <c r="AQ77" s="23" t="n">
        <f aca="false">IF(AND($S77&gt;0,AQ$7&gt;=$T77,AQ$7&lt;$T77+$R77),$S77,0)+IF(AND($W77&gt;0,AQ$7&gt;$X77,AQ$7&lt;=$X77+p_AfschrLK),($V77+$W77)/p_AfschrLK,0)</f>
        <v>0</v>
      </c>
    </row>
    <row r="78" customFormat="false" ht="15" hidden="false" customHeight="false" outlineLevel="0" collapsed="false">
      <c r="A78" s="20" t="str">
        <f aca="false">IF(INDEX('In gebruik'!$A:$A,ROW()+(-3))="","",INDEX('In gebruik'!$A:$A,ROW()+(-3)))</f>
        <v/>
      </c>
      <c r="B78" s="20" t="str">
        <f aca="false">IF($A78="","",INDEX('In gebruik'!$B:$B,ROW()+(-3))&amp;"")</f>
        <v/>
      </c>
      <c r="C78" s="20" t="str">
        <f aca="false">IF($A78="","",INDEX('In gebruik'!$H:$H,ROW()+(-3))&amp;"")</f>
        <v/>
      </c>
      <c r="D78" s="20" t="str">
        <f aca="false">IF($A78="","",INDEX('In gebruik'!$G:$G,ROW()+(-3))&amp;"")</f>
        <v/>
      </c>
      <c r="E78" s="20" t="str">
        <f aca="false">IF($A78="","",INDEX('In gebruik'!$U:$U,ROW()+(-3))&amp;"")</f>
        <v/>
      </c>
      <c r="F78" s="21" t="n">
        <f aca="false">IF($A78="",0,N(INDEX('In gebruik'!$J:$J,ROW()+(-3))))</f>
        <v>0</v>
      </c>
      <c r="G78" s="21" t="n">
        <f aca="false">IF($A78="",0,N(INDEX('In gebruik'!$K:$K,ROW()+(-3))))</f>
        <v>0</v>
      </c>
      <c r="H78" s="12" t="n">
        <f aca="false">IF(G78&gt;0,F78+G78-1,0)</f>
        <v>0</v>
      </c>
      <c r="I78" s="12" t="n">
        <f aca="false">IF($A78="",0,IF(N(INDEX('In gebruik'!$W:$W,ROW()+(-3)))&gt;0,N(INDEX('In gebruik'!$W:$W,ROW()+(-3))),IF(G78&gt;0,MAX(F78+G78,p_Start),0)))</f>
        <v>0</v>
      </c>
      <c r="J78" s="22" t="str">
        <f aca="false">IF($A78="","",IF(AND(G78&gt;0,F78+G78&lt;p_Start),"Over levensduur",IF(AND(I78&gt;0,I78&lt;=p_Start+3),"In begrotingsperiode","")))</f>
        <v/>
      </c>
      <c r="K78" s="23" t="n">
        <f aca="false">IF($E78="Lease-koop",p_Aanbet,0)</f>
        <v>0</v>
      </c>
      <c r="L78" s="23" t="n">
        <f aca="false">IF($E78="Lease-koop",p_Belet,0)</f>
        <v>0</v>
      </c>
      <c r="M78" s="23" t="n">
        <f aca="false">IF($E78="Lease-koop",p_Opbouw,0)</f>
        <v>0</v>
      </c>
      <c r="N78" s="23" t="n">
        <f aca="false">IF($E78="Lease-koop",p_Slot,0)</f>
        <v>0</v>
      </c>
      <c r="O78" s="12" t="n">
        <f aca="false">IF($E78="Lease-koop",I78+p_SlotJr,0)</f>
        <v>0</v>
      </c>
      <c r="P78" s="23" t="n">
        <f aca="false">IF($E78="Koop",N(INDEX('In gebruik'!$V:$V,ROW()+(-3))),0)</f>
        <v>0</v>
      </c>
      <c r="Q78" s="23" t="n">
        <f aca="false">K78+L78+M78+N78+P78</f>
        <v>0</v>
      </c>
      <c r="R78" s="12" t="n">
        <f aca="false">IF($E78="Lease-koop",p_AfschrLK,IF($E78="Koop",G78,0))</f>
        <v>0</v>
      </c>
      <c r="S78" s="23" t="n">
        <f aca="false">IF(R78&gt;0,Q78/R78,0)</f>
        <v>0</v>
      </c>
      <c r="T78" s="12" t="n">
        <f aca="false">IF($E78="Lease-koop",O78+1,IF($E78="Koop",I78+1,0))</f>
        <v>0</v>
      </c>
      <c r="U78" s="23" t="n">
        <f aca="false">IF($E78="Lease-koop",p_Lease,0)</f>
        <v>0</v>
      </c>
      <c r="V78" s="24" t="n">
        <f aca="false">IF($A78="",0,N(INDEX('In gebruik'!$R:$R,ROW()+(-3))))</f>
        <v>0</v>
      </c>
      <c r="W78" s="24" t="n">
        <f aca="false">IF($A78="",0,N(INDEX('In gebruik'!$S:$S,ROW()+(-3))))</f>
        <v>0</v>
      </c>
      <c r="X78" s="21" t="n">
        <f aca="false">IF(W78&gt;0,N(INDEX('In gebruik'!$T:$T,ROW()+(-3))),0)</f>
        <v>0</v>
      </c>
      <c r="Y78" s="24" t="n">
        <f aca="false">IF(W78&gt;0,IF(N(INDEX('In gebruik'!$P:$P,ROW()+(-3)))&gt;0,N(INDEX('In gebruik'!$P:$P,ROW()+(-3))),p_Lease),0)</f>
        <v>0</v>
      </c>
      <c r="AA78" s="23" t="n">
        <f aca="false">IF($Q78+$W78=0,0,IF(AA$7=$I78,$K78+$L78+$M78+$P78,0)+IF(AA$7=$O78,$N78,0)+IF(AA$7=$X78,$W78,0))</f>
        <v>0</v>
      </c>
      <c r="AB78" s="23" t="n">
        <f aca="false">IF($Q78+$W78=0,0,IF(AB$7=$I78,$K78+$L78+$M78+$P78,0)+IF(AB$7=$O78,$N78,0)+IF(AB$7=$X78,$W78,0))</f>
        <v>0</v>
      </c>
      <c r="AC78" s="23" t="n">
        <f aca="false">IF($Q78+$W78=0,0,IF(AC$7=$I78,$K78+$L78+$M78+$P78,0)+IF(AC$7=$O78,$N78,0)+IF(AC$7=$X78,$W78,0))</f>
        <v>0</v>
      </c>
      <c r="AD78" s="23" t="n">
        <f aca="false">IF($Q78+$W78=0,0,IF(AD$7=$I78,$K78+$L78+$M78+$P78,0)+IF(AD$7=$O78,$N78,0)+IF(AD$7=$X78,$W78,0))</f>
        <v>0</v>
      </c>
      <c r="AE78" s="23" t="n">
        <f aca="false">IF($Q78+$W78=0,0,IF(AE$7=$I78,$K78+$L78+$M78+$P78,0)+IF(AE$7=$O78,$N78,0)+IF(AE$7=$X78,$W78,0))</f>
        <v>0</v>
      </c>
      <c r="AF78" s="23" t="n">
        <f aca="false">IF($Q78+$W78=0,0,IF(AF$7=$I78,$K78+$L78+$M78+$P78,0)+IF(AF$7=$O78,$N78,0)+IF(AF$7=$X78,$W78,0))</f>
        <v>0</v>
      </c>
      <c r="AG78" s="23" t="n">
        <f aca="false">IF($Q78+$W78=0,0,IF(AG$7=$I78,$K78+$L78+$M78+$P78,0)+IF(AG$7=$O78,$N78,0)+IF(AG$7=$X78,$W78,0))</f>
        <v>0</v>
      </c>
      <c r="AH78" s="23" t="n">
        <f aca="false">IF($Q78+$W78=0,0,IF(AH$7=$I78,$K78+$L78+$M78+$P78,0)+IF(AH$7=$O78,$N78,0)+IF(AH$7=$X78,$W78,0))</f>
        <v>0</v>
      </c>
      <c r="AJ78" s="23" t="n">
        <f aca="false">IF(AND($S78&gt;0,AJ$7&gt;=$T78,AJ$7&lt;$T78+$R78),$S78,0)+IF(AND($W78&gt;0,AJ$7&gt;$X78,AJ$7&lt;=$X78+p_AfschrLK),($V78+$W78)/p_AfschrLK,0)</f>
        <v>0</v>
      </c>
      <c r="AK78" s="23" t="n">
        <f aca="false">IF(AND($S78&gt;0,AK$7&gt;=$T78,AK$7&lt;$T78+$R78),$S78,0)+IF(AND($W78&gt;0,AK$7&gt;$X78,AK$7&lt;=$X78+p_AfschrLK),($V78+$W78)/p_AfschrLK,0)</f>
        <v>0</v>
      </c>
      <c r="AL78" s="23" t="n">
        <f aca="false">IF(AND($S78&gt;0,AL$7&gt;=$T78,AL$7&lt;$T78+$R78),$S78,0)+IF(AND($W78&gt;0,AL$7&gt;$X78,AL$7&lt;=$X78+p_AfschrLK),($V78+$W78)/p_AfschrLK,0)</f>
        <v>0</v>
      </c>
      <c r="AM78" s="23" t="n">
        <f aca="false">IF(AND($S78&gt;0,AM$7&gt;=$T78,AM$7&lt;$T78+$R78),$S78,0)+IF(AND($W78&gt;0,AM$7&gt;$X78,AM$7&lt;=$X78+p_AfschrLK),($V78+$W78)/p_AfschrLK,0)</f>
        <v>0</v>
      </c>
      <c r="AN78" s="23" t="n">
        <f aca="false">IF(AND($S78&gt;0,AN$7&gt;=$T78,AN$7&lt;$T78+$R78),$S78,0)+IF(AND($W78&gt;0,AN$7&gt;$X78,AN$7&lt;=$X78+p_AfschrLK),($V78+$W78)/p_AfschrLK,0)</f>
        <v>0</v>
      </c>
      <c r="AO78" s="23" t="n">
        <f aca="false">IF(AND($S78&gt;0,AO$7&gt;=$T78,AO$7&lt;$T78+$R78),$S78,0)+IF(AND($W78&gt;0,AO$7&gt;$X78,AO$7&lt;=$X78+p_AfschrLK),($V78+$W78)/p_AfschrLK,0)</f>
        <v>0</v>
      </c>
      <c r="AP78" s="23" t="n">
        <f aca="false">IF(AND($S78&gt;0,AP$7&gt;=$T78,AP$7&lt;$T78+$R78),$S78,0)+IF(AND($W78&gt;0,AP$7&gt;$X78,AP$7&lt;=$X78+p_AfschrLK),($V78+$W78)/p_AfschrLK,0)</f>
        <v>0</v>
      </c>
      <c r="AQ78" s="23" t="n">
        <f aca="false">IF(AND($S78&gt;0,AQ$7&gt;=$T78,AQ$7&lt;$T78+$R78),$S78,0)+IF(AND($W78&gt;0,AQ$7&gt;$X78,AQ$7&lt;=$X78+p_AfschrLK),($V78+$W78)/p_AfschrLK,0)</f>
        <v>0</v>
      </c>
    </row>
    <row r="79" customFormat="false" ht="15" hidden="false" customHeight="false" outlineLevel="0" collapsed="false">
      <c r="A79" s="20" t="str">
        <f aca="false">IF(INDEX('In gebruik'!$A:$A,ROW()+(-3))="","",INDEX('In gebruik'!$A:$A,ROW()+(-3)))</f>
        <v/>
      </c>
      <c r="B79" s="20" t="str">
        <f aca="false">IF($A79="","",INDEX('In gebruik'!$B:$B,ROW()+(-3))&amp;"")</f>
        <v/>
      </c>
      <c r="C79" s="20" t="str">
        <f aca="false">IF($A79="","",INDEX('In gebruik'!$H:$H,ROW()+(-3))&amp;"")</f>
        <v/>
      </c>
      <c r="D79" s="20" t="str">
        <f aca="false">IF($A79="","",INDEX('In gebruik'!$G:$G,ROW()+(-3))&amp;"")</f>
        <v/>
      </c>
      <c r="E79" s="20" t="str">
        <f aca="false">IF($A79="","",INDEX('In gebruik'!$U:$U,ROW()+(-3))&amp;"")</f>
        <v/>
      </c>
      <c r="F79" s="21" t="n">
        <f aca="false">IF($A79="",0,N(INDEX('In gebruik'!$J:$J,ROW()+(-3))))</f>
        <v>0</v>
      </c>
      <c r="G79" s="21" t="n">
        <f aca="false">IF($A79="",0,N(INDEX('In gebruik'!$K:$K,ROW()+(-3))))</f>
        <v>0</v>
      </c>
      <c r="H79" s="12" t="n">
        <f aca="false">IF(G79&gt;0,F79+G79-1,0)</f>
        <v>0</v>
      </c>
      <c r="I79" s="12" t="n">
        <f aca="false">IF($A79="",0,IF(N(INDEX('In gebruik'!$W:$W,ROW()+(-3)))&gt;0,N(INDEX('In gebruik'!$W:$W,ROW()+(-3))),IF(G79&gt;0,MAX(F79+G79,p_Start),0)))</f>
        <v>0</v>
      </c>
      <c r="J79" s="22" t="str">
        <f aca="false">IF($A79="","",IF(AND(G79&gt;0,F79+G79&lt;p_Start),"Over levensduur",IF(AND(I79&gt;0,I79&lt;=p_Start+3),"In begrotingsperiode","")))</f>
        <v/>
      </c>
      <c r="K79" s="23" t="n">
        <f aca="false">IF($E79="Lease-koop",p_Aanbet,0)</f>
        <v>0</v>
      </c>
      <c r="L79" s="23" t="n">
        <f aca="false">IF($E79="Lease-koop",p_Belet,0)</f>
        <v>0</v>
      </c>
      <c r="M79" s="23" t="n">
        <f aca="false">IF($E79="Lease-koop",p_Opbouw,0)</f>
        <v>0</v>
      </c>
      <c r="N79" s="23" t="n">
        <f aca="false">IF($E79="Lease-koop",p_Slot,0)</f>
        <v>0</v>
      </c>
      <c r="O79" s="12" t="n">
        <f aca="false">IF($E79="Lease-koop",I79+p_SlotJr,0)</f>
        <v>0</v>
      </c>
      <c r="P79" s="23" t="n">
        <f aca="false">IF($E79="Koop",N(INDEX('In gebruik'!$V:$V,ROW()+(-3))),0)</f>
        <v>0</v>
      </c>
      <c r="Q79" s="23" t="n">
        <f aca="false">K79+L79+M79+N79+P79</f>
        <v>0</v>
      </c>
      <c r="R79" s="12" t="n">
        <f aca="false">IF($E79="Lease-koop",p_AfschrLK,IF($E79="Koop",G79,0))</f>
        <v>0</v>
      </c>
      <c r="S79" s="23" t="n">
        <f aca="false">IF(R79&gt;0,Q79/R79,0)</f>
        <v>0</v>
      </c>
      <c r="T79" s="12" t="n">
        <f aca="false">IF($E79="Lease-koop",O79+1,IF($E79="Koop",I79+1,0))</f>
        <v>0</v>
      </c>
      <c r="U79" s="23" t="n">
        <f aca="false">IF($E79="Lease-koop",p_Lease,0)</f>
        <v>0</v>
      </c>
      <c r="V79" s="24" t="n">
        <f aca="false">IF($A79="",0,N(INDEX('In gebruik'!$R:$R,ROW()+(-3))))</f>
        <v>0</v>
      </c>
      <c r="W79" s="24" t="n">
        <f aca="false">IF($A79="",0,N(INDEX('In gebruik'!$S:$S,ROW()+(-3))))</f>
        <v>0</v>
      </c>
      <c r="X79" s="21" t="n">
        <f aca="false">IF(W79&gt;0,N(INDEX('In gebruik'!$T:$T,ROW()+(-3))),0)</f>
        <v>0</v>
      </c>
      <c r="Y79" s="24" t="n">
        <f aca="false">IF(W79&gt;0,IF(N(INDEX('In gebruik'!$P:$P,ROW()+(-3)))&gt;0,N(INDEX('In gebruik'!$P:$P,ROW()+(-3))),p_Lease),0)</f>
        <v>0</v>
      </c>
      <c r="AA79" s="23" t="n">
        <f aca="false">IF($Q79+$W79=0,0,IF(AA$7=$I79,$K79+$L79+$M79+$P79,0)+IF(AA$7=$O79,$N79,0)+IF(AA$7=$X79,$W79,0))</f>
        <v>0</v>
      </c>
      <c r="AB79" s="23" t="n">
        <f aca="false">IF($Q79+$W79=0,0,IF(AB$7=$I79,$K79+$L79+$M79+$P79,0)+IF(AB$7=$O79,$N79,0)+IF(AB$7=$X79,$W79,0))</f>
        <v>0</v>
      </c>
      <c r="AC79" s="23" t="n">
        <f aca="false">IF($Q79+$W79=0,0,IF(AC$7=$I79,$K79+$L79+$M79+$P79,0)+IF(AC$7=$O79,$N79,0)+IF(AC$7=$X79,$W79,0))</f>
        <v>0</v>
      </c>
      <c r="AD79" s="23" t="n">
        <f aca="false">IF($Q79+$W79=0,0,IF(AD$7=$I79,$K79+$L79+$M79+$P79,0)+IF(AD$7=$O79,$N79,0)+IF(AD$7=$X79,$W79,0))</f>
        <v>0</v>
      </c>
      <c r="AE79" s="23" t="n">
        <f aca="false">IF($Q79+$W79=0,0,IF(AE$7=$I79,$K79+$L79+$M79+$P79,0)+IF(AE$7=$O79,$N79,0)+IF(AE$7=$X79,$W79,0))</f>
        <v>0</v>
      </c>
      <c r="AF79" s="23" t="n">
        <f aca="false">IF($Q79+$W79=0,0,IF(AF$7=$I79,$K79+$L79+$M79+$P79,0)+IF(AF$7=$O79,$N79,0)+IF(AF$7=$X79,$W79,0))</f>
        <v>0</v>
      </c>
      <c r="AG79" s="23" t="n">
        <f aca="false">IF($Q79+$W79=0,0,IF(AG$7=$I79,$K79+$L79+$M79+$P79,0)+IF(AG$7=$O79,$N79,0)+IF(AG$7=$X79,$W79,0))</f>
        <v>0</v>
      </c>
      <c r="AH79" s="23" t="n">
        <f aca="false">IF($Q79+$W79=0,0,IF(AH$7=$I79,$K79+$L79+$M79+$P79,0)+IF(AH$7=$O79,$N79,0)+IF(AH$7=$X79,$W79,0))</f>
        <v>0</v>
      </c>
      <c r="AJ79" s="23" t="n">
        <f aca="false">IF(AND($S79&gt;0,AJ$7&gt;=$T79,AJ$7&lt;$T79+$R79),$S79,0)+IF(AND($W79&gt;0,AJ$7&gt;$X79,AJ$7&lt;=$X79+p_AfschrLK),($V79+$W79)/p_AfschrLK,0)</f>
        <v>0</v>
      </c>
      <c r="AK79" s="23" t="n">
        <f aca="false">IF(AND($S79&gt;0,AK$7&gt;=$T79,AK$7&lt;$T79+$R79),$S79,0)+IF(AND($W79&gt;0,AK$7&gt;$X79,AK$7&lt;=$X79+p_AfschrLK),($V79+$W79)/p_AfschrLK,0)</f>
        <v>0</v>
      </c>
      <c r="AL79" s="23" t="n">
        <f aca="false">IF(AND($S79&gt;0,AL$7&gt;=$T79,AL$7&lt;$T79+$R79),$S79,0)+IF(AND($W79&gt;0,AL$7&gt;$X79,AL$7&lt;=$X79+p_AfschrLK),($V79+$W79)/p_AfschrLK,0)</f>
        <v>0</v>
      </c>
      <c r="AM79" s="23" t="n">
        <f aca="false">IF(AND($S79&gt;0,AM$7&gt;=$T79,AM$7&lt;$T79+$R79),$S79,0)+IF(AND($W79&gt;0,AM$7&gt;$X79,AM$7&lt;=$X79+p_AfschrLK),($V79+$W79)/p_AfschrLK,0)</f>
        <v>0</v>
      </c>
      <c r="AN79" s="23" t="n">
        <f aca="false">IF(AND($S79&gt;0,AN$7&gt;=$T79,AN$7&lt;$T79+$R79),$S79,0)+IF(AND($W79&gt;0,AN$7&gt;$X79,AN$7&lt;=$X79+p_AfschrLK),($V79+$W79)/p_AfschrLK,0)</f>
        <v>0</v>
      </c>
      <c r="AO79" s="23" t="n">
        <f aca="false">IF(AND($S79&gt;0,AO$7&gt;=$T79,AO$7&lt;$T79+$R79),$S79,0)+IF(AND($W79&gt;0,AO$7&gt;$X79,AO$7&lt;=$X79+p_AfschrLK),($V79+$W79)/p_AfschrLK,0)</f>
        <v>0</v>
      </c>
      <c r="AP79" s="23" t="n">
        <f aca="false">IF(AND($S79&gt;0,AP$7&gt;=$T79,AP$7&lt;$T79+$R79),$S79,0)+IF(AND($W79&gt;0,AP$7&gt;$X79,AP$7&lt;=$X79+p_AfschrLK),($V79+$W79)/p_AfschrLK,0)</f>
        <v>0</v>
      </c>
      <c r="AQ79" s="23" t="n">
        <f aca="false">IF(AND($S79&gt;0,AQ$7&gt;=$T79,AQ$7&lt;$T79+$R79),$S79,0)+IF(AND($W79&gt;0,AQ$7&gt;$X79,AQ$7&lt;=$X79+p_AfschrLK),($V79+$W79)/p_AfschrLK,0)</f>
        <v>0</v>
      </c>
    </row>
    <row r="80" customFormat="false" ht="15" hidden="false" customHeight="false" outlineLevel="0" collapsed="false">
      <c r="A80" s="20" t="str">
        <f aca="false">IF(INDEX('In gebruik'!$A:$A,ROW()+(-3))="","",INDEX('In gebruik'!$A:$A,ROW()+(-3)))</f>
        <v/>
      </c>
      <c r="B80" s="20" t="str">
        <f aca="false">IF($A80="","",INDEX('In gebruik'!$B:$B,ROW()+(-3))&amp;"")</f>
        <v/>
      </c>
      <c r="C80" s="20" t="str">
        <f aca="false">IF($A80="","",INDEX('In gebruik'!$H:$H,ROW()+(-3))&amp;"")</f>
        <v/>
      </c>
      <c r="D80" s="20" t="str">
        <f aca="false">IF($A80="","",INDEX('In gebruik'!$G:$G,ROW()+(-3))&amp;"")</f>
        <v/>
      </c>
      <c r="E80" s="20" t="str">
        <f aca="false">IF($A80="","",INDEX('In gebruik'!$U:$U,ROW()+(-3))&amp;"")</f>
        <v/>
      </c>
      <c r="F80" s="21" t="n">
        <f aca="false">IF($A80="",0,N(INDEX('In gebruik'!$J:$J,ROW()+(-3))))</f>
        <v>0</v>
      </c>
      <c r="G80" s="21" t="n">
        <f aca="false">IF($A80="",0,N(INDEX('In gebruik'!$K:$K,ROW()+(-3))))</f>
        <v>0</v>
      </c>
      <c r="H80" s="12" t="n">
        <f aca="false">IF(G80&gt;0,F80+G80-1,0)</f>
        <v>0</v>
      </c>
      <c r="I80" s="12" t="n">
        <f aca="false">IF($A80="",0,IF(N(INDEX('In gebruik'!$W:$W,ROW()+(-3)))&gt;0,N(INDEX('In gebruik'!$W:$W,ROW()+(-3))),IF(G80&gt;0,MAX(F80+G80,p_Start),0)))</f>
        <v>0</v>
      </c>
      <c r="J80" s="22" t="str">
        <f aca="false">IF($A80="","",IF(AND(G80&gt;0,F80+G80&lt;p_Start),"Over levensduur",IF(AND(I80&gt;0,I80&lt;=p_Start+3),"In begrotingsperiode","")))</f>
        <v/>
      </c>
      <c r="K80" s="23" t="n">
        <f aca="false">IF($E80="Lease-koop",p_Aanbet,0)</f>
        <v>0</v>
      </c>
      <c r="L80" s="23" t="n">
        <f aca="false">IF($E80="Lease-koop",p_Belet,0)</f>
        <v>0</v>
      </c>
      <c r="M80" s="23" t="n">
        <f aca="false">IF($E80="Lease-koop",p_Opbouw,0)</f>
        <v>0</v>
      </c>
      <c r="N80" s="23" t="n">
        <f aca="false">IF($E80="Lease-koop",p_Slot,0)</f>
        <v>0</v>
      </c>
      <c r="O80" s="12" t="n">
        <f aca="false">IF($E80="Lease-koop",I80+p_SlotJr,0)</f>
        <v>0</v>
      </c>
      <c r="P80" s="23" t="n">
        <f aca="false">IF($E80="Koop",N(INDEX('In gebruik'!$V:$V,ROW()+(-3))),0)</f>
        <v>0</v>
      </c>
      <c r="Q80" s="23" t="n">
        <f aca="false">K80+L80+M80+N80+P80</f>
        <v>0</v>
      </c>
      <c r="R80" s="12" t="n">
        <f aca="false">IF($E80="Lease-koop",p_AfschrLK,IF($E80="Koop",G80,0))</f>
        <v>0</v>
      </c>
      <c r="S80" s="23" t="n">
        <f aca="false">IF(R80&gt;0,Q80/R80,0)</f>
        <v>0</v>
      </c>
      <c r="T80" s="12" t="n">
        <f aca="false">IF($E80="Lease-koop",O80+1,IF($E80="Koop",I80+1,0))</f>
        <v>0</v>
      </c>
      <c r="U80" s="23" t="n">
        <f aca="false">IF($E80="Lease-koop",p_Lease,0)</f>
        <v>0</v>
      </c>
      <c r="V80" s="24" t="n">
        <f aca="false">IF($A80="",0,N(INDEX('In gebruik'!$R:$R,ROW()+(-3))))</f>
        <v>0</v>
      </c>
      <c r="W80" s="24" t="n">
        <f aca="false">IF($A80="",0,N(INDEX('In gebruik'!$S:$S,ROW()+(-3))))</f>
        <v>0</v>
      </c>
      <c r="X80" s="21" t="n">
        <f aca="false">IF(W80&gt;0,N(INDEX('In gebruik'!$T:$T,ROW()+(-3))),0)</f>
        <v>0</v>
      </c>
      <c r="Y80" s="24" t="n">
        <f aca="false">IF(W80&gt;0,IF(N(INDEX('In gebruik'!$P:$P,ROW()+(-3)))&gt;0,N(INDEX('In gebruik'!$P:$P,ROW()+(-3))),p_Lease),0)</f>
        <v>0</v>
      </c>
      <c r="AA80" s="23" t="n">
        <f aca="false">IF($Q80+$W80=0,0,IF(AA$7=$I80,$K80+$L80+$M80+$P80,0)+IF(AA$7=$O80,$N80,0)+IF(AA$7=$X80,$W80,0))</f>
        <v>0</v>
      </c>
      <c r="AB80" s="23" t="n">
        <f aca="false">IF($Q80+$W80=0,0,IF(AB$7=$I80,$K80+$L80+$M80+$P80,0)+IF(AB$7=$O80,$N80,0)+IF(AB$7=$X80,$W80,0))</f>
        <v>0</v>
      </c>
      <c r="AC80" s="23" t="n">
        <f aca="false">IF($Q80+$W80=0,0,IF(AC$7=$I80,$K80+$L80+$M80+$P80,0)+IF(AC$7=$O80,$N80,0)+IF(AC$7=$X80,$W80,0))</f>
        <v>0</v>
      </c>
      <c r="AD80" s="23" t="n">
        <f aca="false">IF($Q80+$W80=0,0,IF(AD$7=$I80,$K80+$L80+$M80+$P80,0)+IF(AD$7=$O80,$N80,0)+IF(AD$7=$X80,$W80,0))</f>
        <v>0</v>
      </c>
      <c r="AE80" s="23" t="n">
        <f aca="false">IF($Q80+$W80=0,0,IF(AE$7=$I80,$K80+$L80+$M80+$P80,0)+IF(AE$7=$O80,$N80,0)+IF(AE$7=$X80,$W80,0))</f>
        <v>0</v>
      </c>
      <c r="AF80" s="23" t="n">
        <f aca="false">IF($Q80+$W80=0,0,IF(AF$7=$I80,$K80+$L80+$M80+$P80,0)+IF(AF$7=$O80,$N80,0)+IF(AF$7=$X80,$W80,0))</f>
        <v>0</v>
      </c>
      <c r="AG80" s="23" t="n">
        <f aca="false">IF($Q80+$W80=0,0,IF(AG$7=$I80,$K80+$L80+$M80+$P80,0)+IF(AG$7=$O80,$N80,0)+IF(AG$7=$X80,$W80,0))</f>
        <v>0</v>
      </c>
      <c r="AH80" s="23" t="n">
        <f aca="false">IF($Q80+$W80=0,0,IF(AH$7=$I80,$K80+$L80+$M80+$P80,0)+IF(AH$7=$O80,$N80,0)+IF(AH$7=$X80,$W80,0))</f>
        <v>0</v>
      </c>
      <c r="AJ80" s="23" t="n">
        <f aca="false">IF(AND($S80&gt;0,AJ$7&gt;=$T80,AJ$7&lt;$T80+$R80),$S80,0)+IF(AND($W80&gt;0,AJ$7&gt;$X80,AJ$7&lt;=$X80+p_AfschrLK),($V80+$W80)/p_AfschrLK,0)</f>
        <v>0</v>
      </c>
      <c r="AK80" s="23" t="n">
        <f aca="false">IF(AND($S80&gt;0,AK$7&gt;=$T80,AK$7&lt;$T80+$R80),$S80,0)+IF(AND($W80&gt;0,AK$7&gt;$X80,AK$7&lt;=$X80+p_AfschrLK),($V80+$W80)/p_AfschrLK,0)</f>
        <v>0</v>
      </c>
      <c r="AL80" s="23" t="n">
        <f aca="false">IF(AND($S80&gt;0,AL$7&gt;=$T80,AL$7&lt;$T80+$R80),$S80,0)+IF(AND($W80&gt;0,AL$7&gt;$X80,AL$7&lt;=$X80+p_AfschrLK),($V80+$W80)/p_AfschrLK,0)</f>
        <v>0</v>
      </c>
      <c r="AM80" s="23" t="n">
        <f aca="false">IF(AND($S80&gt;0,AM$7&gt;=$T80,AM$7&lt;$T80+$R80),$S80,0)+IF(AND($W80&gt;0,AM$7&gt;$X80,AM$7&lt;=$X80+p_AfschrLK),($V80+$W80)/p_AfschrLK,0)</f>
        <v>0</v>
      </c>
      <c r="AN80" s="23" t="n">
        <f aca="false">IF(AND($S80&gt;0,AN$7&gt;=$T80,AN$7&lt;$T80+$R80),$S80,0)+IF(AND($W80&gt;0,AN$7&gt;$X80,AN$7&lt;=$X80+p_AfschrLK),($V80+$W80)/p_AfschrLK,0)</f>
        <v>0</v>
      </c>
      <c r="AO80" s="23" t="n">
        <f aca="false">IF(AND($S80&gt;0,AO$7&gt;=$T80,AO$7&lt;$T80+$R80),$S80,0)+IF(AND($W80&gt;0,AO$7&gt;$X80,AO$7&lt;=$X80+p_AfschrLK),($V80+$W80)/p_AfschrLK,0)</f>
        <v>0</v>
      </c>
      <c r="AP80" s="23" t="n">
        <f aca="false">IF(AND($S80&gt;0,AP$7&gt;=$T80,AP$7&lt;$T80+$R80),$S80,0)+IF(AND($W80&gt;0,AP$7&gt;$X80,AP$7&lt;=$X80+p_AfschrLK),($V80+$W80)/p_AfschrLK,0)</f>
        <v>0</v>
      </c>
      <c r="AQ80" s="23" t="n">
        <f aca="false">IF(AND($S80&gt;0,AQ$7&gt;=$T80,AQ$7&lt;$T80+$R80),$S80,0)+IF(AND($W80&gt;0,AQ$7&gt;$X80,AQ$7&lt;=$X80+p_AfschrLK),($V80+$W80)/p_AfschrLK,0)</f>
        <v>0</v>
      </c>
    </row>
    <row r="81" customFormat="false" ht="15" hidden="false" customHeight="false" outlineLevel="0" collapsed="false">
      <c r="A81" s="20" t="str">
        <f aca="false">IF(INDEX('In gebruik'!$A:$A,ROW()+(-3))="","",INDEX('In gebruik'!$A:$A,ROW()+(-3)))</f>
        <v/>
      </c>
      <c r="B81" s="20" t="str">
        <f aca="false">IF($A81="","",INDEX('In gebruik'!$B:$B,ROW()+(-3))&amp;"")</f>
        <v/>
      </c>
      <c r="C81" s="20" t="str">
        <f aca="false">IF($A81="","",INDEX('In gebruik'!$H:$H,ROW()+(-3))&amp;"")</f>
        <v/>
      </c>
      <c r="D81" s="20" t="str">
        <f aca="false">IF($A81="","",INDEX('In gebruik'!$G:$G,ROW()+(-3))&amp;"")</f>
        <v/>
      </c>
      <c r="E81" s="20" t="str">
        <f aca="false">IF($A81="","",INDEX('In gebruik'!$U:$U,ROW()+(-3))&amp;"")</f>
        <v/>
      </c>
      <c r="F81" s="21" t="n">
        <f aca="false">IF($A81="",0,N(INDEX('In gebruik'!$J:$J,ROW()+(-3))))</f>
        <v>0</v>
      </c>
      <c r="G81" s="21" t="n">
        <f aca="false">IF($A81="",0,N(INDEX('In gebruik'!$K:$K,ROW()+(-3))))</f>
        <v>0</v>
      </c>
      <c r="H81" s="12" t="n">
        <f aca="false">IF(G81&gt;0,F81+G81-1,0)</f>
        <v>0</v>
      </c>
      <c r="I81" s="12" t="n">
        <f aca="false">IF($A81="",0,IF(N(INDEX('In gebruik'!$W:$W,ROW()+(-3)))&gt;0,N(INDEX('In gebruik'!$W:$W,ROW()+(-3))),IF(G81&gt;0,MAX(F81+G81,p_Start),0)))</f>
        <v>0</v>
      </c>
      <c r="J81" s="22" t="str">
        <f aca="false">IF($A81="","",IF(AND(G81&gt;0,F81+G81&lt;p_Start),"Over levensduur",IF(AND(I81&gt;0,I81&lt;=p_Start+3),"In begrotingsperiode","")))</f>
        <v/>
      </c>
      <c r="K81" s="23" t="n">
        <f aca="false">IF($E81="Lease-koop",p_Aanbet,0)</f>
        <v>0</v>
      </c>
      <c r="L81" s="23" t="n">
        <f aca="false">IF($E81="Lease-koop",p_Belet,0)</f>
        <v>0</v>
      </c>
      <c r="M81" s="23" t="n">
        <f aca="false">IF($E81="Lease-koop",p_Opbouw,0)</f>
        <v>0</v>
      </c>
      <c r="N81" s="23" t="n">
        <f aca="false">IF($E81="Lease-koop",p_Slot,0)</f>
        <v>0</v>
      </c>
      <c r="O81" s="12" t="n">
        <f aca="false">IF($E81="Lease-koop",I81+p_SlotJr,0)</f>
        <v>0</v>
      </c>
      <c r="P81" s="23" t="n">
        <f aca="false">IF($E81="Koop",N(INDEX('In gebruik'!$V:$V,ROW()+(-3))),0)</f>
        <v>0</v>
      </c>
      <c r="Q81" s="23" t="n">
        <f aca="false">K81+L81+M81+N81+P81</f>
        <v>0</v>
      </c>
      <c r="R81" s="12" t="n">
        <f aca="false">IF($E81="Lease-koop",p_AfschrLK,IF($E81="Koop",G81,0))</f>
        <v>0</v>
      </c>
      <c r="S81" s="23" t="n">
        <f aca="false">IF(R81&gt;0,Q81/R81,0)</f>
        <v>0</v>
      </c>
      <c r="T81" s="12" t="n">
        <f aca="false">IF($E81="Lease-koop",O81+1,IF($E81="Koop",I81+1,0))</f>
        <v>0</v>
      </c>
      <c r="U81" s="23" t="n">
        <f aca="false">IF($E81="Lease-koop",p_Lease,0)</f>
        <v>0</v>
      </c>
      <c r="V81" s="24" t="n">
        <f aca="false">IF($A81="",0,N(INDEX('In gebruik'!$R:$R,ROW()+(-3))))</f>
        <v>0</v>
      </c>
      <c r="W81" s="24" t="n">
        <f aca="false">IF($A81="",0,N(INDEX('In gebruik'!$S:$S,ROW()+(-3))))</f>
        <v>0</v>
      </c>
      <c r="X81" s="21" t="n">
        <f aca="false">IF(W81&gt;0,N(INDEX('In gebruik'!$T:$T,ROW()+(-3))),0)</f>
        <v>0</v>
      </c>
      <c r="Y81" s="24" t="n">
        <f aca="false">IF(W81&gt;0,IF(N(INDEX('In gebruik'!$P:$P,ROW()+(-3)))&gt;0,N(INDEX('In gebruik'!$P:$P,ROW()+(-3))),p_Lease),0)</f>
        <v>0</v>
      </c>
      <c r="AA81" s="23" t="n">
        <f aca="false">IF($Q81+$W81=0,0,IF(AA$7=$I81,$K81+$L81+$M81+$P81,0)+IF(AA$7=$O81,$N81,0)+IF(AA$7=$X81,$W81,0))</f>
        <v>0</v>
      </c>
      <c r="AB81" s="23" t="n">
        <f aca="false">IF($Q81+$W81=0,0,IF(AB$7=$I81,$K81+$L81+$M81+$P81,0)+IF(AB$7=$O81,$N81,0)+IF(AB$7=$X81,$W81,0))</f>
        <v>0</v>
      </c>
      <c r="AC81" s="23" t="n">
        <f aca="false">IF($Q81+$W81=0,0,IF(AC$7=$I81,$K81+$L81+$M81+$P81,0)+IF(AC$7=$O81,$N81,0)+IF(AC$7=$X81,$W81,0))</f>
        <v>0</v>
      </c>
      <c r="AD81" s="23" t="n">
        <f aca="false">IF($Q81+$W81=0,0,IF(AD$7=$I81,$K81+$L81+$M81+$P81,0)+IF(AD$7=$O81,$N81,0)+IF(AD$7=$X81,$W81,0))</f>
        <v>0</v>
      </c>
      <c r="AE81" s="23" t="n">
        <f aca="false">IF($Q81+$W81=0,0,IF(AE$7=$I81,$K81+$L81+$M81+$P81,0)+IF(AE$7=$O81,$N81,0)+IF(AE$7=$X81,$W81,0))</f>
        <v>0</v>
      </c>
      <c r="AF81" s="23" t="n">
        <f aca="false">IF($Q81+$W81=0,0,IF(AF$7=$I81,$K81+$L81+$M81+$P81,0)+IF(AF$7=$O81,$N81,0)+IF(AF$7=$X81,$W81,0))</f>
        <v>0</v>
      </c>
      <c r="AG81" s="23" t="n">
        <f aca="false">IF($Q81+$W81=0,0,IF(AG$7=$I81,$K81+$L81+$M81+$P81,0)+IF(AG$7=$O81,$N81,0)+IF(AG$7=$X81,$W81,0))</f>
        <v>0</v>
      </c>
      <c r="AH81" s="23" t="n">
        <f aca="false">IF($Q81+$W81=0,0,IF(AH$7=$I81,$K81+$L81+$M81+$P81,0)+IF(AH$7=$O81,$N81,0)+IF(AH$7=$X81,$W81,0))</f>
        <v>0</v>
      </c>
      <c r="AJ81" s="23" t="n">
        <f aca="false">IF(AND($S81&gt;0,AJ$7&gt;=$T81,AJ$7&lt;$T81+$R81),$S81,0)+IF(AND($W81&gt;0,AJ$7&gt;$X81,AJ$7&lt;=$X81+p_AfschrLK),($V81+$W81)/p_AfschrLK,0)</f>
        <v>0</v>
      </c>
      <c r="AK81" s="23" t="n">
        <f aca="false">IF(AND($S81&gt;0,AK$7&gt;=$T81,AK$7&lt;$T81+$R81),$S81,0)+IF(AND($W81&gt;0,AK$7&gt;$X81,AK$7&lt;=$X81+p_AfschrLK),($V81+$W81)/p_AfschrLK,0)</f>
        <v>0</v>
      </c>
      <c r="AL81" s="23" t="n">
        <f aca="false">IF(AND($S81&gt;0,AL$7&gt;=$T81,AL$7&lt;$T81+$R81),$S81,0)+IF(AND($W81&gt;0,AL$7&gt;$X81,AL$7&lt;=$X81+p_AfschrLK),($V81+$W81)/p_AfschrLK,0)</f>
        <v>0</v>
      </c>
      <c r="AM81" s="23" t="n">
        <f aca="false">IF(AND($S81&gt;0,AM$7&gt;=$T81,AM$7&lt;$T81+$R81),$S81,0)+IF(AND($W81&gt;0,AM$7&gt;$X81,AM$7&lt;=$X81+p_AfschrLK),($V81+$W81)/p_AfschrLK,0)</f>
        <v>0</v>
      </c>
      <c r="AN81" s="23" t="n">
        <f aca="false">IF(AND($S81&gt;0,AN$7&gt;=$T81,AN$7&lt;$T81+$R81),$S81,0)+IF(AND($W81&gt;0,AN$7&gt;$X81,AN$7&lt;=$X81+p_AfschrLK),($V81+$W81)/p_AfschrLK,0)</f>
        <v>0</v>
      </c>
      <c r="AO81" s="23" t="n">
        <f aca="false">IF(AND($S81&gt;0,AO$7&gt;=$T81,AO$7&lt;$T81+$R81),$S81,0)+IF(AND($W81&gt;0,AO$7&gt;$X81,AO$7&lt;=$X81+p_AfschrLK),($V81+$W81)/p_AfschrLK,0)</f>
        <v>0</v>
      </c>
      <c r="AP81" s="23" t="n">
        <f aca="false">IF(AND($S81&gt;0,AP$7&gt;=$T81,AP$7&lt;$T81+$R81),$S81,0)+IF(AND($W81&gt;0,AP$7&gt;$X81,AP$7&lt;=$X81+p_AfschrLK),($V81+$W81)/p_AfschrLK,0)</f>
        <v>0</v>
      </c>
      <c r="AQ81" s="23" t="n">
        <f aca="false">IF(AND($S81&gt;0,AQ$7&gt;=$T81,AQ$7&lt;$T81+$R81),$S81,0)+IF(AND($W81&gt;0,AQ$7&gt;$X81,AQ$7&lt;=$X81+p_AfschrLK),($V81+$W81)/p_AfschrLK,0)</f>
        <v>0</v>
      </c>
    </row>
    <row r="82" customFormat="false" ht="15" hidden="false" customHeight="false" outlineLevel="0" collapsed="false">
      <c r="A82" s="20" t="str">
        <f aca="false">IF(INDEX('In gebruik'!$A:$A,ROW()+(-3))="","",INDEX('In gebruik'!$A:$A,ROW()+(-3)))</f>
        <v/>
      </c>
      <c r="B82" s="20" t="str">
        <f aca="false">IF($A82="","",INDEX('In gebruik'!$B:$B,ROW()+(-3))&amp;"")</f>
        <v/>
      </c>
      <c r="C82" s="20" t="str">
        <f aca="false">IF($A82="","",INDEX('In gebruik'!$H:$H,ROW()+(-3))&amp;"")</f>
        <v/>
      </c>
      <c r="D82" s="20" t="str">
        <f aca="false">IF($A82="","",INDEX('In gebruik'!$G:$G,ROW()+(-3))&amp;"")</f>
        <v/>
      </c>
      <c r="E82" s="20" t="str">
        <f aca="false">IF($A82="","",INDEX('In gebruik'!$U:$U,ROW()+(-3))&amp;"")</f>
        <v/>
      </c>
      <c r="F82" s="21" t="n">
        <f aca="false">IF($A82="",0,N(INDEX('In gebruik'!$J:$J,ROW()+(-3))))</f>
        <v>0</v>
      </c>
      <c r="G82" s="21" t="n">
        <f aca="false">IF($A82="",0,N(INDEX('In gebruik'!$K:$K,ROW()+(-3))))</f>
        <v>0</v>
      </c>
      <c r="H82" s="12" t="n">
        <f aca="false">IF(G82&gt;0,F82+G82-1,0)</f>
        <v>0</v>
      </c>
      <c r="I82" s="12" t="n">
        <f aca="false">IF($A82="",0,IF(N(INDEX('In gebruik'!$W:$W,ROW()+(-3)))&gt;0,N(INDEX('In gebruik'!$W:$W,ROW()+(-3))),IF(G82&gt;0,MAX(F82+G82,p_Start),0)))</f>
        <v>0</v>
      </c>
      <c r="J82" s="22" t="str">
        <f aca="false">IF($A82="","",IF(AND(G82&gt;0,F82+G82&lt;p_Start),"Over levensduur",IF(AND(I82&gt;0,I82&lt;=p_Start+3),"In begrotingsperiode","")))</f>
        <v/>
      </c>
      <c r="K82" s="23" t="n">
        <f aca="false">IF($E82="Lease-koop",p_Aanbet,0)</f>
        <v>0</v>
      </c>
      <c r="L82" s="23" t="n">
        <f aca="false">IF($E82="Lease-koop",p_Belet,0)</f>
        <v>0</v>
      </c>
      <c r="M82" s="23" t="n">
        <f aca="false">IF($E82="Lease-koop",p_Opbouw,0)</f>
        <v>0</v>
      </c>
      <c r="N82" s="23" t="n">
        <f aca="false">IF($E82="Lease-koop",p_Slot,0)</f>
        <v>0</v>
      </c>
      <c r="O82" s="12" t="n">
        <f aca="false">IF($E82="Lease-koop",I82+p_SlotJr,0)</f>
        <v>0</v>
      </c>
      <c r="P82" s="23" t="n">
        <f aca="false">IF($E82="Koop",N(INDEX('In gebruik'!$V:$V,ROW()+(-3))),0)</f>
        <v>0</v>
      </c>
      <c r="Q82" s="23" t="n">
        <f aca="false">K82+L82+M82+N82+P82</f>
        <v>0</v>
      </c>
      <c r="R82" s="12" t="n">
        <f aca="false">IF($E82="Lease-koop",p_AfschrLK,IF($E82="Koop",G82,0))</f>
        <v>0</v>
      </c>
      <c r="S82" s="23" t="n">
        <f aca="false">IF(R82&gt;0,Q82/R82,0)</f>
        <v>0</v>
      </c>
      <c r="T82" s="12" t="n">
        <f aca="false">IF($E82="Lease-koop",O82+1,IF($E82="Koop",I82+1,0))</f>
        <v>0</v>
      </c>
      <c r="U82" s="23" t="n">
        <f aca="false">IF($E82="Lease-koop",p_Lease,0)</f>
        <v>0</v>
      </c>
      <c r="V82" s="24" t="n">
        <f aca="false">IF($A82="",0,N(INDEX('In gebruik'!$R:$R,ROW()+(-3))))</f>
        <v>0</v>
      </c>
      <c r="W82" s="24" t="n">
        <f aca="false">IF($A82="",0,N(INDEX('In gebruik'!$S:$S,ROW()+(-3))))</f>
        <v>0</v>
      </c>
      <c r="X82" s="21" t="n">
        <f aca="false">IF(W82&gt;0,N(INDEX('In gebruik'!$T:$T,ROW()+(-3))),0)</f>
        <v>0</v>
      </c>
      <c r="Y82" s="24" t="n">
        <f aca="false">IF(W82&gt;0,IF(N(INDEX('In gebruik'!$P:$P,ROW()+(-3)))&gt;0,N(INDEX('In gebruik'!$P:$P,ROW()+(-3))),p_Lease),0)</f>
        <v>0</v>
      </c>
      <c r="AA82" s="23" t="n">
        <f aca="false">IF($Q82+$W82=0,0,IF(AA$7=$I82,$K82+$L82+$M82+$P82,0)+IF(AA$7=$O82,$N82,0)+IF(AA$7=$X82,$W82,0))</f>
        <v>0</v>
      </c>
      <c r="AB82" s="23" t="n">
        <f aca="false">IF($Q82+$W82=0,0,IF(AB$7=$I82,$K82+$L82+$M82+$P82,0)+IF(AB$7=$O82,$N82,0)+IF(AB$7=$X82,$W82,0))</f>
        <v>0</v>
      </c>
      <c r="AC82" s="23" t="n">
        <f aca="false">IF($Q82+$W82=0,0,IF(AC$7=$I82,$K82+$L82+$M82+$P82,0)+IF(AC$7=$O82,$N82,0)+IF(AC$7=$X82,$W82,0))</f>
        <v>0</v>
      </c>
      <c r="AD82" s="23" t="n">
        <f aca="false">IF($Q82+$W82=0,0,IF(AD$7=$I82,$K82+$L82+$M82+$P82,0)+IF(AD$7=$O82,$N82,0)+IF(AD$7=$X82,$W82,0))</f>
        <v>0</v>
      </c>
      <c r="AE82" s="23" t="n">
        <f aca="false">IF($Q82+$W82=0,0,IF(AE$7=$I82,$K82+$L82+$M82+$P82,0)+IF(AE$7=$O82,$N82,0)+IF(AE$7=$X82,$W82,0))</f>
        <v>0</v>
      </c>
      <c r="AF82" s="23" t="n">
        <f aca="false">IF($Q82+$W82=0,0,IF(AF$7=$I82,$K82+$L82+$M82+$P82,0)+IF(AF$7=$O82,$N82,0)+IF(AF$7=$X82,$W82,0))</f>
        <v>0</v>
      </c>
      <c r="AG82" s="23" t="n">
        <f aca="false">IF($Q82+$W82=0,0,IF(AG$7=$I82,$K82+$L82+$M82+$P82,0)+IF(AG$7=$O82,$N82,0)+IF(AG$7=$X82,$W82,0))</f>
        <v>0</v>
      </c>
      <c r="AH82" s="23" t="n">
        <f aca="false">IF($Q82+$W82=0,0,IF(AH$7=$I82,$K82+$L82+$M82+$P82,0)+IF(AH$7=$O82,$N82,0)+IF(AH$7=$X82,$W82,0))</f>
        <v>0</v>
      </c>
      <c r="AJ82" s="23" t="n">
        <f aca="false">IF(AND($S82&gt;0,AJ$7&gt;=$T82,AJ$7&lt;$T82+$R82),$S82,0)+IF(AND($W82&gt;0,AJ$7&gt;$X82,AJ$7&lt;=$X82+p_AfschrLK),($V82+$W82)/p_AfschrLK,0)</f>
        <v>0</v>
      </c>
      <c r="AK82" s="23" t="n">
        <f aca="false">IF(AND($S82&gt;0,AK$7&gt;=$T82,AK$7&lt;$T82+$R82),$S82,0)+IF(AND($W82&gt;0,AK$7&gt;$X82,AK$7&lt;=$X82+p_AfschrLK),($V82+$W82)/p_AfschrLK,0)</f>
        <v>0</v>
      </c>
      <c r="AL82" s="23" t="n">
        <f aca="false">IF(AND($S82&gt;0,AL$7&gt;=$T82,AL$7&lt;$T82+$R82),$S82,0)+IF(AND($W82&gt;0,AL$7&gt;$X82,AL$7&lt;=$X82+p_AfschrLK),($V82+$W82)/p_AfschrLK,0)</f>
        <v>0</v>
      </c>
      <c r="AM82" s="23" t="n">
        <f aca="false">IF(AND($S82&gt;0,AM$7&gt;=$T82,AM$7&lt;$T82+$R82),$S82,0)+IF(AND($W82&gt;0,AM$7&gt;$X82,AM$7&lt;=$X82+p_AfschrLK),($V82+$W82)/p_AfschrLK,0)</f>
        <v>0</v>
      </c>
      <c r="AN82" s="23" t="n">
        <f aca="false">IF(AND($S82&gt;0,AN$7&gt;=$T82,AN$7&lt;$T82+$R82),$S82,0)+IF(AND($W82&gt;0,AN$7&gt;$X82,AN$7&lt;=$X82+p_AfschrLK),($V82+$W82)/p_AfschrLK,0)</f>
        <v>0</v>
      </c>
      <c r="AO82" s="23" t="n">
        <f aca="false">IF(AND($S82&gt;0,AO$7&gt;=$T82,AO$7&lt;$T82+$R82),$S82,0)+IF(AND($W82&gt;0,AO$7&gt;$X82,AO$7&lt;=$X82+p_AfschrLK),($V82+$W82)/p_AfschrLK,0)</f>
        <v>0</v>
      </c>
      <c r="AP82" s="23" t="n">
        <f aca="false">IF(AND($S82&gt;0,AP$7&gt;=$T82,AP$7&lt;$T82+$R82),$S82,0)+IF(AND($W82&gt;0,AP$7&gt;$X82,AP$7&lt;=$X82+p_AfschrLK),($V82+$W82)/p_AfschrLK,0)</f>
        <v>0</v>
      </c>
      <c r="AQ82" s="23" t="n">
        <f aca="false">IF(AND($S82&gt;0,AQ$7&gt;=$T82,AQ$7&lt;$T82+$R82),$S82,0)+IF(AND($W82&gt;0,AQ$7&gt;$X82,AQ$7&lt;=$X82+p_AfschrLK),($V82+$W82)/p_AfschrLK,0)</f>
        <v>0</v>
      </c>
    </row>
    <row r="83" customFormat="false" ht="15" hidden="false" customHeight="false" outlineLevel="0" collapsed="false">
      <c r="A83" s="20" t="str">
        <f aca="false">IF(INDEX('In gebruik'!$A:$A,ROW()+(-3))="","",INDEX('In gebruik'!$A:$A,ROW()+(-3)))</f>
        <v/>
      </c>
      <c r="B83" s="20" t="str">
        <f aca="false">IF($A83="","",INDEX('In gebruik'!$B:$B,ROW()+(-3))&amp;"")</f>
        <v/>
      </c>
      <c r="C83" s="20" t="str">
        <f aca="false">IF($A83="","",INDEX('In gebruik'!$H:$H,ROW()+(-3))&amp;"")</f>
        <v/>
      </c>
      <c r="D83" s="20" t="str">
        <f aca="false">IF($A83="","",INDEX('In gebruik'!$G:$G,ROW()+(-3))&amp;"")</f>
        <v/>
      </c>
      <c r="E83" s="20" t="str">
        <f aca="false">IF($A83="","",INDEX('In gebruik'!$U:$U,ROW()+(-3))&amp;"")</f>
        <v/>
      </c>
      <c r="F83" s="21" t="n">
        <f aca="false">IF($A83="",0,N(INDEX('In gebruik'!$J:$J,ROW()+(-3))))</f>
        <v>0</v>
      </c>
      <c r="G83" s="21" t="n">
        <f aca="false">IF($A83="",0,N(INDEX('In gebruik'!$K:$K,ROW()+(-3))))</f>
        <v>0</v>
      </c>
      <c r="H83" s="12" t="n">
        <f aca="false">IF(G83&gt;0,F83+G83-1,0)</f>
        <v>0</v>
      </c>
      <c r="I83" s="12" t="n">
        <f aca="false">IF($A83="",0,IF(N(INDEX('In gebruik'!$W:$W,ROW()+(-3)))&gt;0,N(INDEX('In gebruik'!$W:$W,ROW()+(-3))),IF(G83&gt;0,MAX(F83+G83,p_Start),0)))</f>
        <v>0</v>
      </c>
      <c r="J83" s="22" t="str">
        <f aca="false">IF($A83="","",IF(AND(G83&gt;0,F83+G83&lt;p_Start),"Over levensduur",IF(AND(I83&gt;0,I83&lt;=p_Start+3),"In begrotingsperiode","")))</f>
        <v/>
      </c>
      <c r="K83" s="23" t="n">
        <f aca="false">IF($E83="Lease-koop",p_Aanbet,0)</f>
        <v>0</v>
      </c>
      <c r="L83" s="23" t="n">
        <f aca="false">IF($E83="Lease-koop",p_Belet,0)</f>
        <v>0</v>
      </c>
      <c r="M83" s="23" t="n">
        <f aca="false">IF($E83="Lease-koop",p_Opbouw,0)</f>
        <v>0</v>
      </c>
      <c r="N83" s="23" t="n">
        <f aca="false">IF($E83="Lease-koop",p_Slot,0)</f>
        <v>0</v>
      </c>
      <c r="O83" s="12" t="n">
        <f aca="false">IF($E83="Lease-koop",I83+p_SlotJr,0)</f>
        <v>0</v>
      </c>
      <c r="P83" s="23" t="n">
        <f aca="false">IF($E83="Koop",N(INDEX('In gebruik'!$V:$V,ROW()+(-3))),0)</f>
        <v>0</v>
      </c>
      <c r="Q83" s="23" t="n">
        <f aca="false">K83+L83+M83+N83+P83</f>
        <v>0</v>
      </c>
      <c r="R83" s="12" t="n">
        <f aca="false">IF($E83="Lease-koop",p_AfschrLK,IF($E83="Koop",G83,0))</f>
        <v>0</v>
      </c>
      <c r="S83" s="23" t="n">
        <f aca="false">IF(R83&gt;0,Q83/R83,0)</f>
        <v>0</v>
      </c>
      <c r="T83" s="12" t="n">
        <f aca="false">IF($E83="Lease-koop",O83+1,IF($E83="Koop",I83+1,0))</f>
        <v>0</v>
      </c>
      <c r="U83" s="23" t="n">
        <f aca="false">IF($E83="Lease-koop",p_Lease,0)</f>
        <v>0</v>
      </c>
      <c r="V83" s="24" t="n">
        <f aca="false">IF($A83="",0,N(INDEX('In gebruik'!$R:$R,ROW()+(-3))))</f>
        <v>0</v>
      </c>
      <c r="W83" s="24" t="n">
        <f aca="false">IF($A83="",0,N(INDEX('In gebruik'!$S:$S,ROW()+(-3))))</f>
        <v>0</v>
      </c>
      <c r="X83" s="21" t="n">
        <f aca="false">IF(W83&gt;0,N(INDEX('In gebruik'!$T:$T,ROW()+(-3))),0)</f>
        <v>0</v>
      </c>
      <c r="Y83" s="24" t="n">
        <f aca="false">IF(W83&gt;0,IF(N(INDEX('In gebruik'!$P:$P,ROW()+(-3)))&gt;0,N(INDEX('In gebruik'!$P:$P,ROW()+(-3))),p_Lease),0)</f>
        <v>0</v>
      </c>
      <c r="AA83" s="23" t="n">
        <f aca="false">IF($Q83+$W83=0,0,IF(AA$7=$I83,$K83+$L83+$M83+$P83,0)+IF(AA$7=$O83,$N83,0)+IF(AA$7=$X83,$W83,0))</f>
        <v>0</v>
      </c>
      <c r="AB83" s="23" t="n">
        <f aca="false">IF($Q83+$W83=0,0,IF(AB$7=$I83,$K83+$L83+$M83+$P83,0)+IF(AB$7=$O83,$N83,0)+IF(AB$7=$X83,$W83,0))</f>
        <v>0</v>
      </c>
      <c r="AC83" s="23" t="n">
        <f aca="false">IF($Q83+$W83=0,0,IF(AC$7=$I83,$K83+$L83+$M83+$P83,0)+IF(AC$7=$O83,$N83,0)+IF(AC$7=$X83,$W83,0))</f>
        <v>0</v>
      </c>
      <c r="AD83" s="23" t="n">
        <f aca="false">IF($Q83+$W83=0,0,IF(AD$7=$I83,$K83+$L83+$M83+$P83,0)+IF(AD$7=$O83,$N83,0)+IF(AD$7=$X83,$W83,0))</f>
        <v>0</v>
      </c>
      <c r="AE83" s="23" t="n">
        <f aca="false">IF($Q83+$W83=0,0,IF(AE$7=$I83,$K83+$L83+$M83+$P83,0)+IF(AE$7=$O83,$N83,0)+IF(AE$7=$X83,$W83,0))</f>
        <v>0</v>
      </c>
      <c r="AF83" s="23" t="n">
        <f aca="false">IF($Q83+$W83=0,0,IF(AF$7=$I83,$K83+$L83+$M83+$P83,0)+IF(AF$7=$O83,$N83,0)+IF(AF$7=$X83,$W83,0))</f>
        <v>0</v>
      </c>
      <c r="AG83" s="23" t="n">
        <f aca="false">IF($Q83+$W83=0,0,IF(AG$7=$I83,$K83+$L83+$M83+$P83,0)+IF(AG$7=$O83,$N83,0)+IF(AG$7=$X83,$W83,0))</f>
        <v>0</v>
      </c>
      <c r="AH83" s="23" t="n">
        <f aca="false">IF($Q83+$W83=0,0,IF(AH$7=$I83,$K83+$L83+$M83+$P83,0)+IF(AH$7=$O83,$N83,0)+IF(AH$7=$X83,$W83,0))</f>
        <v>0</v>
      </c>
      <c r="AJ83" s="23" t="n">
        <f aca="false">IF(AND($S83&gt;0,AJ$7&gt;=$T83,AJ$7&lt;$T83+$R83),$S83,0)+IF(AND($W83&gt;0,AJ$7&gt;$X83,AJ$7&lt;=$X83+p_AfschrLK),($V83+$W83)/p_AfschrLK,0)</f>
        <v>0</v>
      </c>
      <c r="AK83" s="23" t="n">
        <f aca="false">IF(AND($S83&gt;0,AK$7&gt;=$T83,AK$7&lt;$T83+$R83),$S83,0)+IF(AND($W83&gt;0,AK$7&gt;$X83,AK$7&lt;=$X83+p_AfschrLK),($V83+$W83)/p_AfschrLK,0)</f>
        <v>0</v>
      </c>
      <c r="AL83" s="23" t="n">
        <f aca="false">IF(AND($S83&gt;0,AL$7&gt;=$T83,AL$7&lt;$T83+$R83),$S83,0)+IF(AND($W83&gt;0,AL$7&gt;$X83,AL$7&lt;=$X83+p_AfschrLK),($V83+$W83)/p_AfschrLK,0)</f>
        <v>0</v>
      </c>
      <c r="AM83" s="23" t="n">
        <f aca="false">IF(AND($S83&gt;0,AM$7&gt;=$T83,AM$7&lt;$T83+$R83),$S83,0)+IF(AND($W83&gt;0,AM$7&gt;$X83,AM$7&lt;=$X83+p_AfschrLK),($V83+$W83)/p_AfschrLK,0)</f>
        <v>0</v>
      </c>
      <c r="AN83" s="23" t="n">
        <f aca="false">IF(AND($S83&gt;0,AN$7&gt;=$T83,AN$7&lt;$T83+$R83),$S83,0)+IF(AND($W83&gt;0,AN$7&gt;$X83,AN$7&lt;=$X83+p_AfschrLK),($V83+$W83)/p_AfschrLK,0)</f>
        <v>0</v>
      </c>
      <c r="AO83" s="23" t="n">
        <f aca="false">IF(AND($S83&gt;0,AO$7&gt;=$T83,AO$7&lt;$T83+$R83),$S83,0)+IF(AND($W83&gt;0,AO$7&gt;$X83,AO$7&lt;=$X83+p_AfschrLK),($V83+$W83)/p_AfschrLK,0)</f>
        <v>0</v>
      </c>
      <c r="AP83" s="23" t="n">
        <f aca="false">IF(AND($S83&gt;0,AP$7&gt;=$T83,AP$7&lt;$T83+$R83),$S83,0)+IF(AND($W83&gt;0,AP$7&gt;$X83,AP$7&lt;=$X83+p_AfschrLK),($V83+$W83)/p_AfschrLK,0)</f>
        <v>0</v>
      </c>
      <c r="AQ83" s="23" t="n">
        <f aca="false">IF(AND($S83&gt;0,AQ$7&gt;=$T83,AQ$7&lt;$T83+$R83),$S83,0)+IF(AND($W83&gt;0,AQ$7&gt;$X83,AQ$7&lt;=$X83+p_AfschrLK),($V83+$W83)/p_AfschrLK,0)</f>
        <v>0</v>
      </c>
    </row>
    <row r="84" customFormat="false" ht="15" hidden="false" customHeight="false" outlineLevel="0" collapsed="false">
      <c r="A84" s="20" t="str">
        <f aca="false">IF(INDEX('In gebruik'!$A:$A,ROW()+(-3))="","",INDEX('In gebruik'!$A:$A,ROW()+(-3)))</f>
        <v/>
      </c>
      <c r="B84" s="20" t="str">
        <f aca="false">IF($A84="","",INDEX('In gebruik'!$B:$B,ROW()+(-3))&amp;"")</f>
        <v/>
      </c>
      <c r="C84" s="20" t="str">
        <f aca="false">IF($A84="","",INDEX('In gebruik'!$H:$H,ROW()+(-3))&amp;"")</f>
        <v/>
      </c>
      <c r="D84" s="20" t="str">
        <f aca="false">IF($A84="","",INDEX('In gebruik'!$G:$G,ROW()+(-3))&amp;"")</f>
        <v/>
      </c>
      <c r="E84" s="20" t="str">
        <f aca="false">IF($A84="","",INDEX('In gebruik'!$U:$U,ROW()+(-3))&amp;"")</f>
        <v/>
      </c>
      <c r="F84" s="21" t="n">
        <f aca="false">IF($A84="",0,N(INDEX('In gebruik'!$J:$J,ROW()+(-3))))</f>
        <v>0</v>
      </c>
      <c r="G84" s="21" t="n">
        <f aca="false">IF($A84="",0,N(INDEX('In gebruik'!$K:$K,ROW()+(-3))))</f>
        <v>0</v>
      </c>
      <c r="H84" s="12" t="n">
        <f aca="false">IF(G84&gt;0,F84+G84-1,0)</f>
        <v>0</v>
      </c>
      <c r="I84" s="12" t="n">
        <f aca="false">IF($A84="",0,IF(N(INDEX('In gebruik'!$W:$W,ROW()+(-3)))&gt;0,N(INDEX('In gebruik'!$W:$W,ROW()+(-3))),IF(G84&gt;0,MAX(F84+G84,p_Start),0)))</f>
        <v>0</v>
      </c>
      <c r="J84" s="22" t="str">
        <f aca="false">IF($A84="","",IF(AND(G84&gt;0,F84+G84&lt;p_Start),"Over levensduur",IF(AND(I84&gt;0,I84&lt;=p_Start+3),"In begrotingsperiode","")))</f>
        <v/>
      </c>
      <c r="K84" s="23" t="n">
        <f aca="false">IF($E84="Lease-koop",p_Aanbet,0)</f>
        <v>0</v>
      </c>
      <c r="L84" s="23" t="n">
        <f aca="false">IF($E84="Lease-koop",p_Belet,0)</f>
        <v>0</v>
      </c>
      <c r="M84" s="23" t="n">
        <f aca="false">IF($E84="Lease-koop",p_Opbouw,0)</f>
        <v>0</v>
      </c>
      <c r="N84" s="23" t="n">
        <f aca="false">IF($E84="Lease-koop",p_Slot,0)</f>
        <v>0</v>
      </c>
      <c r="O84" s="12" t="n">
        <f aca="false">IF($E84="Lease-koop",I84+p_SlotJr,0)</f>
        <v>0</v>
      </c>
      <c r="P84" s="23" t="n">
        <f aca="false">IF($E84="Koop",N(INDEX('In gebruik'!$V:$V,ROW()+(-3))),0)</f>
        <v>0</v>
      </c>
      <c r="Q84" s="23" t="n">
        <f aca="false">K84+L84+M84+N84+P84</f>
        <v>0</v>
      </c>
      <c r="R84" s="12" t="n">
        <f aca="false">IF($E84="Lease-koop",p_AfschrLK,IF($E84="Koop",G84,0))</f>
        <v>0</v>
      </c>
      <c r="S84" s="23" t="n">
        <f aca="false">IF(R84&gt;0,Q84/R84,0)</f>
        <v>0</v>
      </c>
      <c r="T84" s="12" t="n">
        <f aca="false">IF($E84="Lease-koop",O84+1,IF($E84="Koop",I84+1,0))</f>
        <v>0</v>
      </c>
      <c r="U84" s="23" t="n">
        <f aca="false">IF($E84="Lease-koop",p_Lease,0)</f>
        <v>0</v>
      </c>
      <c r="V84" s="24" t="n">
        <f aca="false">IF($A84="",0,N(INDEX('In gebruik'!$R:$R,ROW()+(-3))))</f>
        <v>0</v>
      </c>
      <c r="W84" s="24" t="n">
        <f aca="false">IF($A84="",0,N(INDEX('In gebruik'!$S:$S,ROW()+(-3))))</f>
        <v>0</v>
      </c>
      <c r="X84" s="21" t="n">
        <f aca="false">IF(W84&gt;0,N(INDEX('In gebruik'!$T:$T,ROW()+(-3))),0)</f>
        <v>0</v>
      </c>
      <c r="Y84" s="24" t="n">
        <f aca="false">IF(W84&gt;0,IF(N(INDEX('In gebruik'!$P:$P,ROW()+(-3)))&gt;0,N(INDEX('In gebruik'!$P:$P,ROW()+(-3))),p_Lease),0)</f>
        <v>0</v>
      </c>
      <c r="AA84" s="23" t="n">
        <f aca="false">IF($Q84+$W84=0,0,IF(AA$7=$I84,$K84+$L84+$M84+$P84,0)+IF(AA$7=$O84,$N84,0)+IF(AA$7=$X84,$W84,0))</f>
        <v>0</v>
      </c>
      <c r="AB84" s="23" t="n">
        <f aca="false">IF($Q84+$W84=0,0,IF(AB$7=$I84,$K84+$L84+$M84+$P84,0)+IF(AB$7=$O84,$N84,0)+IF(AB$7=$X84,$W84,0))</f>
        <v>0</v>
      </c>
      <c r="AC84" s="23" t="n">
        <f aca="false">IF($Q84+$W84=0,0,IF(AC$7=$I84,$K84+$L84+$M84+$P84,0)+IF(AC$7=$O84,$N84,0)+IF(AC$7=$X84,$W84,0))</f>
        <v>0</v>
      </c>
      <c r="AD84" s="23" t="n">
        <f aca="false">IF($Q84+$W84=0,0,IF(AD$7=$I84,$K84+$L84+$M84+$P84,0)+IF(AD$7=$O84,$N84,0)+IF(AD$7=$X84,$W84,0))</f>
        <v>0</v>
      </c>
      <c r="AE84" s="23" t="n">
        <f aca="false">IF($Q84+$W84=0,0,IF(AE$7=$I84,$K84+$L84+$M84+$P84,0)+IF(AE$7=$O84,$N84,0)+IF(AE$7=$X84,$W84,0))</f>
        <v>0</v>
      </c>
      <c r="AF84" s="23" t="n">
        <f aca="false">IF($Q84+$W84=0,0,IF(AF$7=$I84,$K84+$L84+$M84+$P84,0)+IF(AF$7=$O84,$N84,0)+IF(AF$7=$X84,$W84,0))</f>
        <v>0</v>
      </c>
      <c r="AG84" s="23" t="n">
        <f aca="false">IF($Q84+$W84=0,0,IF(AG$7=$I84,$K84+$L84+$M84+$P84,0)+IF(AG$7=$O84,$N84,0)+IF(AG$7=$X84,$W84,0))</f>
        <v>0</v>
      </c>
      <c r="AH84" s="23" t="n">
        <f aca="false">IF($Q84+$W84=0,0,IF(AH$7=$I84,$K84+$L84+$M84+$P84,0)+IF(AH$7=$O84,$N84,0)+IF(AH$7=$X84,$W84,0))</f>
        <v>0</v>
      </c>
      <c r="AJ84" s="23" t="n">
        <f aca="false">IF(AND($S84&gt;0,AJ$7&gt;=$T84,AJ$7&lt;$T84+$R84),$S84,0)+IF(AND($W84&gt;0,AJ$7&gt;$X84,AJ$7&lt;=$X84+p_AfschrLK),($V84+$W84)/p_AfschrLK,0)</f>
        <v>0</v>
      </c>
      <c r="AK84" s="23" t="n">
        <f aca="false">IF(AND($S84&gt;0,AK$7&gt;=$T84,AK$7&lt;$T84+$R84),$S84,0)+IF(AND($W84&gt;0,AK$7&gt;$X84,AK$7&lt;=$X84+p_AfschrLK),($V84+$W84)/p_AfschrLK,0)</f>
        <v>0</v>
      </c>
      <c r="AL84" s="23" t="n">
        <f aca="false">IF(AND($S84&gt;0,AL$7&gt;=$T84,AL$7&lt;$T84+$R84),$S84,0)+IF(AND($W84&gt;0,AL$7&gt;$X84,AL$7&lt;=$X84+p_AfschrLK),($V84+$W84)/p_AfschrLK,0)</f>
        <v>0</v>
      </c>
      <c r="AM84" s="23" t="n">
        <f aca="false">IF(AND($S84&gt;0,AM$7&gt;=$T84,AM$7&lt;$T84+$R84),$S84,0)+IF(AND($W84&gt;0,AM$7&gt;$X84,AM$7&lt;=$X84+p_AfschrLK),($V84+$W84)/p_AfschrLK,0)</f>
        <v>0</v>
      </c>
      <c r="AN84" s="23" t="n">
        <f aca="false">IF(AND($S84&gt;0,AN$7&gt;=$T84,AN$7&lt;$T84+$R84),$S84,0)+IF(AND($W84&gt;0,AN$7&gt;$X84,AN$7&lt;=$X84+p_AfschrLK),($V84+$W84)/p_AfschrLK,0)</f>
        <v>0</v>
      </c>
      <c r="AO84" s="23" t="n">
        <f aca="false">IF(AND($S84&gt;0,AO$7&gt;=$T84,AO$7&lt;$T84+$R84),$S84,0)+IF(AND($W84&gt;0,AO$7&gt;$X84,AO$7&lt;=$X84+p_AfschrLK),($V84+$W84)/p_AfschrLK,0)</f>
        <v>0</v>
      </c>
      <c r="AP84" s="23" t="n">
        <f aca="false">IF(AND($S84&gt;0,AP$7&gt;=$T84,AP$7&lt;$T84+$R84),$S84,0)+IF(AND($W84&gt;0,AP$7&gt;$X84,AP$7&lt;=$X84+p_AfschrLK),($V84+$W84)/p_AfschrLK,0)</f>
        <v>0</v>
      </c>
      <c r="AQ84" s="23" t="n">
        <f aca="false">IF(AND($S84&gt;0,AQ$7&gt;=$T84,AQ$7&lt;$T84+$R84),$S84,0)+IF(AND($W84&gt;0,AQ$7&gt;$X84,AQ$7&lt;=$X84+p_AfschrLK),($V84+$W84)/p_AfschrLK,0)</f>
        <v>0</v>
      </c>
    </row>
    <row r="85" customFormat="false" ht="15" hidden="false" customHeight="false" outlineLevel="0" collapsed="false">
      <c r="A85" s="20" t="str">
        <f aca="false">IF(INDEX('In gebruik'!$A:$A,ROW()+(-3))="","",INDEX('In gebruik'!$A:$A,ROW()+(-3)))</f>
        <v/>
      </c>
      <c r="B85" s="20" t="str">
        <f aca="false">IF($A85="","",INDEX('In gebruik'!$B:$B,ROW()+(-3))&amp;"")</f>
        <v/>
      </c>
      <c r="C85" s="20" t="str">
        <f aca="false">IF($A85="","",INDEX('In gebruik'!$H:$H,ROW()+(-3))&amp;"")</f>
        <v/>
      </c>
      <c r="D85" s="20" t="str">
        <f aca="false">IF($A85="","",INDEX('In gebruik'!$G:$G,ROW()+(-3))&amp;"")</f>
        <v/>
      </c>
      <c r="E85" s="20" t="str">
        <f aca="false">IF($A85="","",INDEX('In gebruik'!$U:$U,ROW()+(-3))&amp;"")</f>
        <v/>
      </c>
      <c r="F85" s="21" t="n">
        <f aca="false">IF($A85="",0,N(INDEX('In gebruik'!$J:$J,ROW()+(-3))))</f>
        <v>0</v>
      </c>
      <c r="G85" s="21" t="n">
        <f aca="false">IF($A85="",0,N(INDEX('In gebruik'!$K:$K,ROW()+(-3))))</f>
        <v>0</v>
      </c>
      <c r="H85" s="12" t="n">
        <f aca="false">IF(G85&gt;0,F85+G85-1,0)</f>
        <v>0</v>
      </c>
      <c r="I85" s="12" t="n">
        <f aca="false">IF($A85="",0,IF(N(INDEX('In gebruik'!$W:$W,ROW()+(-3)))&gt;0,N(INDEX('In gebruik'!$W:$W,ROW()+(-3))),IF(G85&gt;0,MAX(F85+G85,p_Start),0)))</f>
        <v>0</v>
      </c>
      <c r="J85" s="22" t="str">
        <f aca="false">IF($A85="","",IF(AND(G85&gt;0,F85+G85&lt;p_Start),"Over levensduur",IF(AND(I85&gt;0,I85&lt;=p_Start+3),"In begrotingsperiode","")))</f>
        <v/>
      </c>
      <c r="K85" s="23" t="n">
        <f aca="false">IF($E85="Lease-koop",p_Aanbet,0)</f>
        <v>0</v>
      </c>
      <c r="L85" s="23" t="n">
        <f aca="false">IF($E85="Lease-koop",p_Belet,0)</f>
        <v>0</v>
      </c>
      <c r="M85" s="23" t="n">
        <f aca="false">IF($E85="Lease-koop",p_Opbouw,0)</f>
        <v>0</v>
      </c>
      <c r="N85" s="23" t="n">
        <f aca="false">IF($E85="Lease-koop",p_Slot,0)</f>
        <v>0</v>
      </c>
      <c r="O85" s="12" t="n">
        <f aca="false">IF($E85="Lease-koop",I85+p_SlotJr,0)</f>
        <v>0</v>
      </c>
      <c r="P85" s="23" t="n">
        <f aca="false">IF($E85="Koop",N(INDEX('In gebruik'!$V:$V,ROW()+(-3))),0)</f>
        <v>0</v>
      </c>
      <c r="Q85" s="23" t="n">
        <f aca="false">K85+L85+M85+N85+P85</f>
        <v>0</v>
      </c>
      <c r="R85" s="12" t="n">
        <f aca="false">IF($E85="Lease-koop",p_AfschrLK,IF($E85="Koop",G85,0))</f>
        <v>0</v>
      </c>
      <c r="S85" s="23" t="n">
        <f aca="false">IF(R85&gt;0,Q85/R85,0)</f>
        <v>0</v>
      </c>
      <c r="T85" s="12" t="n">
        <f aca="false">IF($E85="Lease-koop",O85+1,IF($E85="Koop",I85+1,0))</f>
        <v>0</v>
      </c>
      <c r="U85" s="23" t="n">
        <f aca="false">IF($E85="Lease-koop",p_Lease,0)</f>
        <v>0</v>
      </c>
      <c r="V85" s="24" t="n">
        <f aca="false">IF($A85="",0,N(INDEX('In gebruik'!$R:$R,ROW()+(-3))))</f>
        <v>0</v>
      </c>
      <c r="W85" s="24" t="n">
        <f aca="false">IF($A85="",0,N(INDEX('In gebruik'!$S:$S,ROW()+(-3))))</f>
        <v>0</v>
      </c>
      <c r="X85" s="21" t="n">
        <f aca="false">IF(W85&gt;0,N(INDEX('In gebruik'!$T:$T,ROW()+(-3))),0)</f>
        <v>0</v>
      </c>
      <c r="Y85" s="24" t="n">
        <f aca="false">IF(W85&gt;0,IF(N(INDEX('In gebruik'!$P:$P,ROW()+(-3)))&gt;0,N(INDEX('In gebruik'!$P:$P,ROW()+(-3))),p_Lease),0)</f>
        <v>0</v>
      </c>
      <c r="AA85" s="23" t="n">
        <f aca="false">IF($Q85+$W85=0,0,IF(AA$7=$I85,$K85+$L85+$M85+$P85,0)+IF(AA$7=$O85,$N85,0)+IF(AA$7=$X85,$W85,0))</f>
        <v>0</v>
      </c>
      <c r="AB85" s="23" t="n">
        <f aca="false">IF($Q85+$W85=0,0,IF(AB$7=$I85,$K85+$L85+$M85+$P85,0)+IF(AB$7=$O85,$N85,0)+IF(AB$7=$X85,$W85,0))</f>
        <v>0</v>
      </c>
      <c r="AC85" s="23" t="n">
        <f aca="false">IF($Q85+$W85=0,0,IF(AC$7=$I85,$K85+$L85+$M85+$P85,0)+IF(AC$7=$O85,$N85,0)+IF(AC$7=$X85,$W85,0))</f>
        <v>0</v>
      </c>
      <c r="AD85" s="23" t="n">
        <f aca="false">IF($Q85+$W85=0,0,IF(AD$7=$I85,$K85+$L85+$M85+$P85,0)+IF(AD$7=$O85,$N85,0)+IF(AD$7=$X85,$W85,0))</f>
        <v>0</v>
      </c>
      <c r="AE85" s="23" t="n">
        <f aca="false">IF($Q85+$W85=0,0,IF(AE$7=$I85,$K85+$L85+$M85+$P85,0)+IF(AE$7=$O85,$N85,0)+IF(AE$7=$X85,$W85,0))</f>
        <v>0</v>
      </c>
      <c r="AF85" s="23" t="n">
        <f aca="false">IF($Q85+$W85=0,0,IF(AF$7=$I85,$K85+$L85+$M85+$P85,0)+IF(AF$7=$O85,$N85,0)+IF(AF$7=$X85,$W85,0))</f>
        <v>0</v>
      </c>
      <c r="AG85" s="23" t="n">
        <f aca="false">IF($Q85+$W85=0,0,IF(AG$7=$I85,$K85+$L85+$M85+$P85,0)+IF(AG$7=$O85,$N85,0)+IF(AG$7=$X85,$W85,0))</f>
        <v>0</v>
      </c>
      <c r="AH85" s="23" t="n">
        <f aca="false">IF($Q85+$W85=0,0,IF(AH$7=$I85,$K85+$L85+$M85+$P85,0)+IF(AH$7=$O85,$N85,0)+IF(AH$7=$X85,$W85,0))</f>
        <v>0</v>
      </c>
      <c r="AJ85" s="23" t="n">
        <f aca="false">IF(AND($S85&gt;0,AJ$7&gt;=$T85,AJ$7&lt;$T85+$R85),$S85,0)+IF(AND($W85&gt;0,AJ$7&gt;$X85,AJ$7&lt;=$X85+p_AfschrLK),($V85+$W85)/p_AfschrLK,0)</f>
        <v>0</v>
      </c>
      <c r="AK85" s="23" t="n">
        <f aca="false">IF(AND($S85&gt;0,AK$7&gt;=$T85,AK$7&lt;$T85+$R85),$S85,0)+IF(AND($W85&gt;0,AK$7&gt;$X85,AK$7&lt;=$X85+p_AfschrLK),($V85+$W85)/p_AfschrLK,0)</f>
        <v>0</v>
      </c>
      <c r="AL85" s="23" t="n">
        <f aca="false">IF(AND($S85&gt;0,AL$7&gt;=$T85,AL$7&lt;$T85+$R85),$S85,0)+IF(AND($W85&gt;0,AL$7&gt;$X85,AL$7&lt;=$X85+p_AfschrLK),($V85+$W85)/p_AfschrLK,0)</f>
        <v>0</v>
      </c>
      <c r="AM85" s="23" t="n">
        <f aca="false">IF(AND($S85&gt;0,AM$7&gt;=$T85,AM$7&lt;$T85+$R85),$S85,0)+IF(AND($W85&gt;0,AM$7&gt;$X85,AM$7&lt;=$X85+p_AfschrLK),($V85+$W85)/p_AfschrLK,0)</f>
        <v>0</v>
      </c>
      <c r="AN85" s="23" t="n">
        <f aca="false">IF(AND($S85&gt;0,AN$7&gt;=$T85,AN$7&lt;$T85+$R85),$S85,0)+IF(AND($W85&gt;0,AN$7&gt;$X85,AN$7&lt;=$X85+p_AfschrLK),($V85+$W85)/p_AfschrLK,0)</f>
        <v>0</v>
      </c>
      <c r="AO85" s="23" t="n">
        <f aca="false">IF(AND($S85&gt;0,AO$7&gt;=$T85,AO$7&lt;$T85+$R85),$S85,0)+IF(AND($W85&gt;0,AO$7&gt;$X85,AO$7&lt;=$X85+p_AfschrLK),($V85+$W85)/p_AfschrLK,0)</f>
        <v>0</v>
      </c>
      <c r="AP85" s="23" t="n">
        <f aca="false">IF(AND($S85&gt;0,AP$7&gt;=$T85,AP$7&lt;$T85+$R85),$S85,0)+IF(AND($W85&gt;0,AP$7&gt;$X85,AP$7&lt;=$X85+p_AfschrLK),($V85+$W85)/p_AfschrLK,0)</f>
        <v>0</v>
      </c>
      <c r="AQ85" s="23" t="n">
        <f aca="false">IF(AND($S85&gt;0,AQ$7&gt;=$T85,AQ$7&lt;$T85+$R85),$S85,0)+IF(AND($W85&gt;0,AQ$7&gt;$X85,AQ$7&lt;=$X85+p_AfschrLK),($V85+$W85)/p_AfschrLK,0)</f>
        <v>0</v>
      </c>
    </row>
    <row r="86" customFormat="false" ht="15" hidden="false" customHeight="false" outlineLevel="0" collapsed="false">
      <c r="A86" s="20" t="str">
        <f aca="false">IF(INDEX('In gebruik'!$A:$A,ROW()+(-3))="","",INDEX('In gebruik'!$A:$A,ROW()+(-3)))</f>
        <v/>
      </c>
      <c r="B86" s="20" t="str">
        <f aca="false">IF($A86="","",INDEX('In gebruik'!$B:$B,ROW()+(-3))&amp;"")</f>
        <v/>
      </c>
      <c r="C86" s="20" t="str">
        <f aca="false">IF($A86="","",INDEX('In gebruik'!$H:$H,ROW()+(-3))&amp;"")</f>
        <v/>
      </c>
      <c r="D86" s="20" t="str">
        <f aca="false">IF($A86="","",INDEX('In gebruik'!$G:$G,ROW()+(-3))&amp;"")</f>
        <v/>
      </c>
      <c r="E86" s="20" t="str">
        <f aca="false">IF($A86="","",INDEX('In gebruik'!$U:$U,ROW()+(-3))&amp;"")</f>
        <v/>
      </c>
      <c r="F86" s="21" t="n">
        <f aca="false">IF($A86="",0,N(INDEX('In gebruik'!$J:$J,ROW()+(-3))))</f>
        <v>0</v>
      </c>
      <c r="G86" s="21" t="n">
        <f aca="false">IF($A86="",0,N(INDEX('In gebruik'!$K:$K,ROW()+(-3))))</f>
        <v>0</v>
      </c>
      <c r="H86" s="12" t="n">
        <f aca="false">IF(G86&gt;0,F86+G86-1,0)</f>
        <v>0</v>
      </c>
      <c r="I86" s="12" t="n">
        <f aca="false">IF($A86="",0,IF(N(INDEX('In gebruik'!$W:$W,ROW()+(-3)))&gt;0,N(INDEX('In gebruik'!$W:$W,ROW()+(-3))),IF(G86&gt;0,MAX(F86+G86,p_Start),0)))</f>
        <v>0</v>
      </c>
      <c r="J86" s="22" t="str">
        <f aca="false">IF($A86="","",IF(AND(G86&gt;0,F86+G86&lt;p_Start),"Over levensduur",IF(AND(I86&gt;0,I86&lt;=p_Start+3),"In begrotingsperiode","")))</f>
        <v/>
      </c>
      <c r="K86" s="23" t="n">
        <f aca="false">IF($E86="Lease-koop",p_Aanbet,0)</f>
        <v>0</v>
      </c>
      <c r="L86" s="23" t="n">
        <f aca="false">IF($E86="Lease-koop",p_Belet,0)</f>
        <v>0</v>
      </c>
      <c r="M86" s="23" t="n">
        <f aca="false">IF($E86="Lease-koop",p_Opbouw,0)</f>
        <v>0</v>
      </c>
      <c r="N86" s="23" t="n">
        <f aca="false">IF($E86="Lease-koop",p_Slot,0)</f>
        <v>0</v>
      </c>
      <c r="O86" s="12" t="n">
        <f aca="false">IF($E86="Lease-koop",I86+p_SlotJr,0)</f>
        <v>0</v>
      </c>
      <c r="P86" s="23" t="n">
        <f aca="false">IF($E86="Koop",N(INDEX('In gebruik'!$V:$V,ROW()+(-3))),0)</f>
        <v>0</v>
      </c>
      <c r="Q86" s="23" t="n">
        <f aca="false">K86+L86+M86+N86+P86</f>
        <v>0</v>
      </c>
      <c r="R86" s="12" t="n">
        <f aca="false">IF($E86="Lease-koop",p_AfschrLK,IF($E86="Koop",G86,0))</f>
        <v>0</v>
      </c>
      <c r="S86" s="23" t="n">
        <f aca="false">IF(R86&gt;0,Q86/R86,0)</f>
        <v>0</v>
      </c>
      <c r="T86" s="12" t="n">
        <f aca="false">IF($E86="Lease-koop",O86+1,IF($E86="Koop",I86+1,0))</f>
        <v>0</v>
      </c>
      <c r="U86" s="23" t="n">
        <f aca="false">IF($E86="Lease-koop",p_Lease,0)</f>
        <v>0</v>
      </c>
      <c r="V86" s="24" t="n">
        <f aca="false">IF($A86="",0,N(INDEX('In gebruik'!$R:$R,ROW()+(-3))))</f>
        <v>0</v>
      </c>
      <c r="W86" s="24" t="n">
        <f aca="false">IF($A86="",0,N(INDEX('In gebruik'!$S:$S,ROW()+(-3))))</f>
        <v>0</v>
      </c>
      <c r="X86" s="21" t="n">
        <f aca="false">IF(W86&gt;0,N(INDEX('In gebruik'!$T:$T,ROW()+(-3))),0)</f>
        <v>0</v>
      </c>
      <c r="Y86" s="24" t="n">
        <f aca="false">IF(W86&gt;0,IF(N(INDEX('In gebruik'!$P:$P,ROW()+(-3)))&gt;0,N(INDEX('In gebruik'!$P:$P,ROW()+(-3))),p_Lease),0)</f>
        <v>0</v>
      </c>
      <c r="AA86" s="23" t="n">
        <f aca="false">IF($Q86+$W86=0,0,IF(AA$7=$I86,$K86+$L86+$M86+$P86,0)+IF(AA$7=$O86,$N86,0)+IF(AA$7=$X86,$W86,0))</f>
        <v>0</v>
      </c>
      <c r="AB86" s="23" t="n">
        <f aca="false">IF($Q86+$W86=0,0,IF(AB$7=$I86,$K86+$L86+$M86+$P86,0)+IF(AB$7=$O86,$N86,0)+IF(AB$7=$X86,$W86,0))</f>
        <v>0</v>
      </c>
      <c r="AC86" s="23" t="n">
        <f aca="false">IF($Q86+$W86=0,0,IF(AC$7=$I86,$K86+$L86+$M86+$P86,0)+IF(AC$7=$O86,$N86,0)+IF(AC$7=$X86,$W86,0))</f>
        <v>0</v>
      </c>
      <c r="AD86" s="23" t="n">
        <f aca="false">IF($Q86+$W86=0,0,IF(AD$7=$I86,$K86+$L86+$M86+$P86,0)+IF(AD$7=$O86,$N86,0)+IF(AD$7=$X86,$W86,0))</f>
        <v>0</v>
      </c>
      <c r="AE86" s="23" t="n">
        <f aca="false">IF($Q86+$W86=0,0,IF(AE$7=$I86,$K86+$L86+$M86+$P86,0)+IF(AE$7=$O86,$N86,0)+IF(AE$7=$X86,$W86,0))</f>
        <v>0</v>
      </c>
      <c r="AF86" s="23" t="n">
        <f aca="false">IF($Q86+$W86=0,0,IF(AF$7=$I86,$K86+$L86+$M86+$P86,0)+IF(AF$7=$O86,$N86,0)+IF(AF$7=$X86,$W86,0))</f>
        <v>0</v>
      </c>
      <c r="AG86" s="23" t="n">
        <f aca="false">IF($Q86+$W86=0,0,IF(AG$7=$I86,$K86+$L86+$M86+$P86,0)+IF(AG$7=$O86,$N86,0)+IF(AG$7=$X86,$W86,0))</f>
        <v>0</v>
      </c>
      <c r="AH86" s="23" t="n">
        <f aca="false">IF($Q86+$W86=0,0,IF(AH$7=$I86,$K86+$L86+$M86+$P86,0)+IF(AH$7=$O86,$N86,0)+IF(AH$7=$X86,$W86,0))</f>
        <v>0</v>
      </c>
      <c r="AJ86" s="23" t="n">
        <f aca="false">IF(AND($S86&gt;0,AJ$7&gt;=$T86,AJ$7&lt;$T86+$R86),$S86,0)+IF(AND($W86&gt;0,AJ$7&gt;$X86,AJ$7&lt;=$X86+p_AfschrLK),($V86+$W86)/p_AfschrLK,0)</f>
        <v>0</v>
      </c>
      <c r="AK86" s="23" t="n">
        <f aca="false">IF(AND($S86&gt;0,AK$7&gt;=$T86,AK$7&lt;$T86+$R86),$S86,0)+IF(AND($W86&gt;0,AK$7&gt;$X86,AK$7&lt;=$X86+p_AfschrLK),($V86+$W86)/p_AfschrLK,0)</f>
        <v>0</v>
      </c>
      <c r="AL86" s="23" t="n">
        <f aca="false">IF(AND($S86&gt;0,AL$7&gt;=$T86,AL$7&lt;$T86+$R86),$S86,0)+IF(AND($W86&gt;0,AL$7&gt;$X86,AL$7&lt;=$X86+p_AfschrLK),($V86+$W86)/p_AfschrLK,0)</f>
        <v>0</v>
      </c>
      <c r="AM86" s="23" t="n">
        <f aca="false">IF(AND($S86&gt;0,AM$7&gt;=$T86,AM$7&lt;$T86+$R86),$S86,0)+IF(AND($W86&gt;0,AM$7&gt;$X86,AM$7&lt;=$X86+p_AfschrLK),($V86+$W86)/p_AfschrLK,0)</f>
        <v>0</v>
      </c>
      <c r="AN86" s="23" t="n">
        <f aca="false">IF(AND($S86&gt;0,AN$7&gt;=$T86,AN$7&lt;$T86+$R86),$S86,0)+IF(AND($W86&gt;0,AN$7&gt;$X86,AN$7&lt;=$X86+p_AfschrLK),($V86+$W86)/p_AfschrLK,0)</f>
        <v>0</v>
      </c>
      <c r="AO86" s="23" t="n">
        <f aca="false">IF(AND($S86&gt;0,AO$7&gt;=$T86,AO$7&lt;$T86+$R86),$S86,0)+IF(AND($W86&gt;0,AO$7&gt;$X86,AO$7&lt;=$X86+p_AfschrLK),($V86+$W86)/p_AfschrLK,0)</f>
        <v>0</v>
      </c>
      <c r="AP86" s="23" t="n">
        <f aca="false">IF(AND($S86&gt;0,AP$7&gt;=$T86,AP$7&lt;$T86+$R86),$S86,0)+IF(AND($W86&gt;0,AP$7&gt;$X86,AP$7&lt;=$X86+p_AfschrLK),($V86+$W86)/p_AfschrLK,0)</f>
        <v>0</v>
      </c>
      <c r="AQ86" s="23" t="n">
        <f aca="false">IF(AND($S86&gt;0,AQ$7&gt;=$T86,AQ$7&lt;$T86+$R86),$S86,0)+IF(AND($W86&gt;0,AQ$7&gt;$X86,AQ$7&lt;=$X86+p_AfschrLK),($V86+$W86)/p_AfschrLK,0)</f>
        <v>0</v>
      </c>
    </row>
    <row r="87" customFormat="false" ht="15" hidden="false" customHeight="false" outlineLevel="0" collapsed="false">
      <c r="A87" s="20" t="str">
        <f aca="false">IF(INDEX('In gebruik'!$A:$A,ROW()+(-3))="","",INDEX('In gebruik'!$A:$A,ROW()+(-3)))</f>
        <v/>
      </c>
      <c r="B87" s="20" t="str">
        <f aca="false">IF($A87="","",INDEX('In gebruik'!$B:$B,ROW()+(-3))&amp;"")</f>
        <v/>
      </c>
      <c r="C87" s="20" t="str">
        <f aca="false">IF($A87="","",INDEX('In gebruik'!$H:$H,ROW()+(-3))&amp;"")</f>
        <v/>
      </c>
      <c r="D87" s="20" t="str">
        <f aca="false">IF($A87="","",INDEX('In gebruik'!$G:$G,ROW()+(-3))&amp;"")</f>
        <v/>
      </c>
      <c r="E87" s="20" t="str">
        <f aca="false">IF($A87="","",INDEX('In gebruik'!$U:$U,ROW()+(-3))&amp;"")</f>
        <v/>
      </c>
      <c r="F87" s="21" t="n">
        <f aca="false">IF($A87="",0,N(INDEX('In gebruik'!$J:$J,ROW()+(-3))))</f>
        <v>0</v>
      </c>
      <c r="G87" s="21" t="n">
        <f aca="false">IF($A87="",0,N(INDEX('In gebruik'!$K:$K,ROW()+(-3))))</f>
        <v>0</v>
      </c>
      <c r="H87" s="12" t="n">
        <f aca="false">IF(G87&gt;0,F87+G87-1,0)</f>
        <v>0</v>
      </c>
      <c r="I87" s="12" t="n">
        <f aca="false">IF($A87="",0,IF(N(INDEX('In gebruik'!$W:$W,ROW()+(-3)))&gt;0,N(INDEX('In gebruik'!$W:$W,ROW()+(-3))),IF(G87&gt;0,MAX(F87+G87,p_Start),0)))</f>
        <v>0</v>
      </c>
      <c r="J87" s="22" t="str">
        <f aca="false">IF($A87="","",IF(AND(G87&gt;0,F87+G87&lt;p_Start),"Over levensduur",IF(AND(I87&gt;0,I87&lt;=p_Start+3),"In begrotingsperiode","")))</f>
        <v/>
      </c>
      <c r="K87" s="23" t="n">
        <f aca="false">IF($E87="Lease-koop",p_Aanbet,0)</f>
        <v>0</v>
      </c>
      <c r="L87" s="23" t="n">
        <f aca="false">IF($E87="Lease-koop",p_Belet,0)</f>
        <v>0</v>
      </c>
      <c r="M87" s="23" t="n">
        <f aca="false">IF($E87="Lease-koop",p_Opbouw,0)</f>
        <v>0</v>
      </c>
      <c r="N87" s="23" t="n">
        <f aca="false">IF($E87="Lease-koop",p_Slot,0)</f>
        <v>0</v>
      </c>
      <c r="O87" s="12" t="n">
        <f aca="false">IF($E87="Lease-koop",I87+p_SlotJr,0)</f>
        <v>0</v>
      </c>
      <c r="P87" s="23" t="n">
        <f aca="false">IF($E87="Koop",N(INDEX('In gebruik'!$V:$V,ROW()+(-3))),0)</f>
        <v>0</v>
      </c>
      <c r="Q87" s="23" t="n">
        <f aca="false">K87+L87+M87+N87+P87</f>
        <v>0</v>
      </c>
      <c r="R87" s="12" t="n">
        <f aca="false">IF($E87="Lease-koop",p_AfschrLK,IF($E87="Koop",G87,0))</f>
        <v>0</v>
      </c>
      <c r="S87" s="23" t="n">
        <f aca="false">IF(R87&gt;0,Q87/R87,0)</f>
        <v>0</v>
      </c>
      <c r="T87" s="12" t="n">
        <f aca="false">IF($E87="Lease-koop",O87+1,IF($E87="Koop",I87+1,0))</f>
        <v>0</v>
      </c>
      <c r="U87" s="23" t="n">
        <f aca="false">IF($E87="Lease-koop",p_Lease,0)</f>
        <v>0</v>
      </c>
      <c r="V87" s="24" t="n">
        <f aca="false">IF($A87="",0,N(INDEX('In gebruik'!$R:$R,ROW()+(-3))))</f>
        <v>0</v>
      </c>
      <c r="W87" s="24" t="n">
        <f aca="false">IF($A87="",0,N(INDEX('In gebruik'!$S:$S,ROW()+(-3))))</f>
        <v>0</v>
      </c>
      <c r="X87" s="21" t="n">
        <f aca="false">IF(W87&gt;0,N(INDEX('In gebruik'!$T:$T,ROW()+(-3))),0)</f>
        <v>0</v>
      </c>
      <c r="Y87" s="24" t="n">
        <f aca="false">IF(W87&gt;0,IF(N(INDEX('In gebruik'!$P:$P,ROW()+(-3)))&gt;0,N(INDEX('In gebruik'!$P:$P,ROW()+(-3))),p_Lease),0)</f>
        <v>0</v>
      </c>
      <c r="AA87" s="23" t="n">
        <f aca="false">IF($Q87+$W87=0,0,IF(AA$7=$I87,$K87+$L87+$M87+$P87,0)+IF(AA$7=$O87,$N87,0)+IF(AA$7=$X87,$W87,0))</f>
        <v>0</v>
      </c>
      <c r="AB87" s="23" t="n">
        <f aca="false">IF($Q87+$W87=0,0,IF(AB$7=$I87,$K87+$L87+$M87+$P87,0)+IF(AB$7=$O87,$N87,0)+IF(AB$7=$X87,$W87,0))</f>
        <v>0</v>
      </c>
      <c r="AC87" s="23" t="n">
        <f aca="false">IF($Q87+$W87=0,0,IF(AC$7=$I87,$K87+$L87+$M87+$P87,0)+IF(AC$7=$O87,$N87,0)+IF(AC$7=$X87,$W87,0))</f>
        <v>0</v>
      </c>
      <c r="AD87" s="23" t="n">
        <f aca="false">IF($Q87+$W87=0,0,IF(AD$7=$I87,$K87+$L87+$M87+$P87,0)+IF(AD$7=$O87,$N87,0)+IF(AD$7=$X87,$W87,0))</f>
        <v>0</v>
      </c>
      <c r="AE87" s="23" t="n">
        <f aca="false">IF($Q87+$W87=0,0,IF(AE$7=$I87,$K87+$L87+$M87+$P87,0)+IF(AE$7=$O87,$N87,0)+IF(AE$7=$X87,$W87,0))</f>
        <v>0</v>
      </c>
      <c r="AF87" s="23" t="n">
        <f aca="false">IF($Q87+$W87=0,0,IF(AF$7=$I87,$K87+$L87+$M87+$P87,0)+IF(AF$7=$O87,$N87,0)+IF(AF$7=$X87,$W87,0))</f>
        <v>0</v>
      </c>
      <c r="AG87" s="23" t="n">
        <f aca="false">IF($Q87+$W87=0,0,IF(AG$7=$I87,$K87+$L87+$M87+$P87,0)+IF(AG$7=$O87,$N87,0)+IF(AG$7=$X87,$W87,0))</f>
        <v>0</v>
      </c>
      <c r="AH87" s="23" t="n">
        <f aca="false">IF($Q87+$W87=0,0,IF(AH$7=$I87,$K87+$L87+$M87+$P87,0)+IF(AH$7=$O87,$N87,0)+IF(AH$7=$X87,$W87,0))</f>
        <v>0</v>
      </c>
      <c r="AJ87" s="23" t="n">
        <f aca="false">IF(AND($S87&gt;0,AJ$7&gt;=$T87,AJ$7&lt;$T87+$R87),$S87,0)+IF(AND($W87&gt;0,AJ$7&gt;$X87,AJ$7&lt;=$X87+p_AfschrLK),($V87+$W87)/p_AfschrLK,0)</f>
        <v>0</v>
      </c>
      <c r="AK87" s="23" t="n">
        <f aca="false">IF(AND($S87&gt;0,AK$7&gt;=$T87,AK$7&lt;$T87+$R87),$S87,0)+IF(AND($W87&gt;0,AK$7&gt;$X87,AK$7&lt;=$X87+p_AfschrLK),($V87+$W87)/p_AfschrLK,0)</f>
        <v>0</v>
      </c>
      <c r="AL87" s="23" t="n">
        <f aca="false">IF(AND($S87&gt;0,AL$7&gt;=$T87,AL$7&lt;$T87+$R87),$S87,0)+IF(AND($W87&gt;0,AL$7&gt;$X87,AL$7&lt;=$X87+p_AfschrLK),($V87+$W87)/p_AfschrLK,0)</f>
        <v>0</v>
      </c>
      <c r="AM87" s="23" t="n">
        <f aca="false">IF(AND($S87&gt;0,AM$7&gt;=$T87,AM$7&lt;$T87+$R87),$S87,0)+IF(AND($W87&gt;0,AM$7&gt;$X87,AM$7&lt;=$X87+p_AfschrLK),($V87+$W87)/p_AfschrLK,0)</f>
        <v>0</v>
      </c>
      <c r="AN87" s="23" t="n">
        <f aca="false">IF(AND($S87&gt;0,AN$7&gt;=$T87,AN$7&lt;$T87+$R87),$S87,0)+IF(AND($W87&gt;0,AN$7&gt;$X87,AN$7&lt;=$X87+p_AfschrLK),($V87+$W87)/p_AfschrLK,0)</f>
        <v>0</v>
      </c>
      <c r="AO87" s="23" t="n">
        <f aca="false">IF(AND($S87&gt;0,AO$7&gt;=$T87,AO$7&lt;$T87+$R87),$S87,0)+IF(AND($W87&gt;0,AO$7&gt;$X87,AO$7&lt;=$X87+p_AfschrLK),($V87+$W87)/p_AfschrLK,0)</f>
        <v>0</v>
      </c>
      <c r="AP87" s="23" t="n">
        <f aca="false">IF(AND($S87&gt;0,AP$7&gt;=$T87,AP$7&lt;$T87+$R87),$S87,0)+IF(AND($W87&gt;0,AP$7&gt;$X87,AP$7&lt;=$X87+p_AfschrLK),($V87+$W87)/p_AfschrLK,0)</f>
        <v>0</v>
      </c>
      <c r="AQ87" s="23" t="n">
        <f aca="false">IF(AND($S87&gt;0,AQ$7&gt;=$T87,AQ$7&lt;$T87+$R87),$S87,0)+IF(AND($W87&gt;0,AQ$7&gt;$X87,AQ$7&lt;=$X87+p_AfschrLK),($V87+$W87)/p_AfschrLK,0)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9" min="2" style="0" width="12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4" t="s">
        <v>324</v>
      </c>
    </row>
    <row r="2" customFormat="false" ht="15" hidden="false" customHeight="false" outlineLevel="0" collapsed="false">
      <c r="A2" s="5" t="s">
        <v>325</v>
      </c>
    </row>
    <row r="4" customFormat="false" ht="15" hidden="false" customHeight="false" outlineLevel="0" collapsed="false">
      <c r="A4" s="6" t="s">
        <v>35</v>
      </c>
      <c r="B4" s="25" t="n">
        <f aca="false">p_Start</f>
        <v>2027</v>
      </c>
      <c r="C4" s="25" t="n">
        <f aca="false">B4+1</f>
        <v>2028</v>
      </c>
      <c r="D4" s="25" t="n">
        <f aca="false">C4+1</f>
        <v>2029</v>
      </c>
      <c r="E4" s="25" t="n">
        <f aca="false">D4+1</f>
        <v>2030</v>
      </c>
      <c r="F4" s="25" t="n">
        <f aca="false">E4+1</f>
        <v>2031</v>
      </c>
      <c r="G4" s="25" t="n">
        <f aca="false">F4+1</f>
        <v>2032</v>
      </c>
      <c r="H4" s="25" t="n">
        <f aca="false">G4+1</f>
        <v>2033</v>
      </c>
      <c r="I4" s="25" t="n">
        <f aca="false">H4+1</f>
        <v>2034</v>
      </c>
      <c r="J4" s="6" t="s">
        <v>301</v>
      </c>
    </row>
    <row r="5" customFormat="false" ht="15" hidden="false" customHeight="false" outlineLevel="0" collapsed="false">
      <c r="A5" s="22" t="s">
        <v>326</v>
      </c>
      <c r="B5" s="26" t="n">
        <f aca="false">COUNTIFS(Vervangingsplanning!$I$8:$I$87,B$4,Vervangingsplanning!$E$8:$E$87,"&lt;&gt;Doorschuiven")</f>
        <v>6</v>
      </c>
      <c r="C5" s="26" t="n">
        <f aca="false">COUNTIFS(Vervangingsplanning!$I$8:$I$87,C$4,Vervangingsplanning!$E$8:$E$87,"&lt;&gt;Doorschuiven")</f>
        <v>1</v>
      </c>
      <c r="D5" s="26" t="n">
        <f aca="false">COUNTIFS(Vervangingsplanning!$I$8:$I$87,D$4,Vervangingsplanning!$E$8:$E$87,"&lt;&gt;Doorschuiven")</f>
        <v>2</v>
      </c>
      <c r="E5" s="26" t="n">
        <f aca="false">COUNTIFS(Vervangingsplanning!$I$8:$I$87,E$4,Vervangingsplanning!$E$8:$E$87,"&lt;&gt;Doorschuiven")</f>
        <v>0</v>
      </c>
      <c r="F5" s="26" t="n">
        <f aca="false">COUNTIFS(Vervangingsplanning!$I$8:$I$87,F$4,Vervangingsplanning!$E$8:$E$87,"&lt;&gt;Doorschuiven")</f>
        <v>1</v>
      </c>
      <c r="G5" s="26" t="n">
        <f aca="false">COUNTIFS(Vervangingsplanning!$I$8:$I$87,G$4,Vervangingsplanning!$E$8:$E$87,"&lt;&gt;Doorschuiven")</f>
        <v>4</v>
      </c>
      <c r="H5" s="26" t="n">
        <f aca="false">COUNTIFS(Vervangingsplanning!$I$8:$I$87,H$4,Vervangingsplanning!$E$8:$E$87,"&lt;&gt;Doorschuiven")</f>
        <v>2</v>
      </c>
      <c r="I5" s="26" t="n">
        <f aca="false">COUNTIFS(Vervangingsplanning!$I$8:$I$87,I$4,Vervangingsplanning!$E$8:$E$87,"&lt;&gt;Doorschuiven")</f>
        <v>8</v>
      </c>
      <c r="J5" s="27" t="n">
        <f aca="false">SUM(B5:I5)</f>
        <v>24</v>
      </c>
    </row>
    <row r="6" customFormat="false" ht="15" hidden="false" customHeight="false" outlineLevel="0" collapsed="false">
      <c r="A6" s="22" t="s">
        <v>327</v>
      </c>
      <c r="B6" s="23" t="n">
        <f aca="false">SUMPRODUCT((Vervangingsplanning!$E$8:$E$87="Lease-koop")*(Vervangingsplanning!$I$8:$I$87=B$4)*(Vervangingsplanning!$K$8:$K$87+Vervangingsplanning!$L$8:$L$87+Vervangingsplanning!$M$8:$M$87))</f>
        <v>22000</v>
      </c>
      <c r="C6" s="23" t="n">
        <f aca="false">SUMPRODUCT((Vervangingsplanning!$E$8:$E$87="Lease-koop")*(Vervangingsplanning!$I$8:$I$87=C$4)*(Vervangingsplanning!$K$8:$K$87+Vervangingsplanning!$L$8:$L$87+Vervangingsplanning!$M$8:$M$87))</f>
        <v>0</v>
      </c>
      <c r="D6" s="23" t="n">
        <f aca="false">SUMPRODUCT((Vervangingsplanning!$E$8:$E$87="Lease-koop")*(Vervangingsplanning!$I$8:$I$87=D$4)*(Vervangingsplanning!$K$8:$K$87+Vervangingsplanning!$L$8:$L$87+Vervangingsplanning!$M$8:$M$87))</f>
        <v>22000</v>
      </c>
      <c r="E6" s="23" t="n">
        <f aca="false">SUMPRODUCT((Vervangingsplanning!$E$8:$E$87="Lease-koop")*(Vervangingsplanning!$I$8:$I$87=E$4)*(Vervangingsplanning!$K$8:$K$87+Vervangingsplanning!$L$8:$L$87+Vervangingsplanning!$M$8:$M$87))</f>
        <v>0</v>
      </c>
      <c r="F6" s="23" t="n">
        <f aca="false">SUMPRODUCT((Vervangingsplanning!$E$8:$E$87="Lease-koop")*(Vervangingsplanning!$I$8:$I$87=F$4)*(Vervangingsplanning!$K$8:$K$87+Vervangingsplanning!$L$8:$L$87+Vervangingsplanning!$M$8:$M$87))</f>
        <v>22000</v>
      </c>
      <c r="G6" s="23" t="n">
        <f aca="false">SUMPRODUCT((Vervangingsplanning!$E$8:$E$87="Lease-koop")*(Vervangingsplanning!$I$8:$I$87=G$4)*(Vervangingsplanning!$K$8:$K$87+Vervangingsplanning!$L$8:$L$87+Vervangingsplanning!$M$8:$M$87))</f>
        <v>66000</v>
      </c>
      <c r="H6" s="23" t="n">
        <f aca="false">SUMPRODUCT((Vervangingsplanning!$E$8:$E$87="Lease-koop")*(Vervangingsplanning!$I$8:$I$87=H$4)*(Vervangingsplanning!$K$8:$K$87+Vervangingsplanning!$L$8:$L$87+Vervangingsplanning!$M$8:$M$87))</f>
        <v>22000</v>
      </c>
      <c r="I6" s="23" t="n">
        <f aca="false">SUMPRODUCT((Vervangingsplanning!$E$8:$E$87="Lease-koop")*(Vervangingsplanning!$I$8:$I$87=I$4)*(Vervangingsplanning!$K$8:$K$87+Vervangingsplanning!$L$8:$L$87+Vervangingsplanning!$M$8:$M$87))</f>
        <v>154000</v>
      </c>
      <c r="J6" s="28" t="n">
        <f aca="false">SUM(B6:I6)</f>
        <v>308000</v>
      </c>
    </row>
    <row r="7" customFormat="false" ht="15" hidden="false" customHeight="false" outlineLevel="0" collapsed="false">
      <c r="A7" s="22" t="s">
        <v>328</v>
      </c>
      <c r="B7" s="23" t="n">
        <f aca="false">SUMPRODUCT((Vervangingsplanning!$E$8:$E$87="Lease-koop")*(Vervangingsplanning!$O$8:$O$87=B$4)*Vervangingsplanning!$N$8:$N$87)</f>
        <v>0</v>
      </c>
      <c r="C7" s="23" t="n">
        <f aca="false">SUMPRODUCT((Vervangingsplanning!$E$8:$E$87="Lease-koop")*(Vervangingsplanning!$O$8:$O$87=C$4)*Vervangingsplanning!$N$8:$N$87)</f>
        <v>0</v>
      </c>
      <c r="D7" s="23" t="n">
        <f aca="false">SUMPRODUCT((Vervangingsplanning!$E$8:$E$87="Lease-koop")*(Vervangingsplanning!$O$8:$O$87=D$4)*Vervangingsplanning!$N$8:$N$87)</f>
        <v>35000</v>
      </c>
      <c r="E7" s="23" t="n">
        <f aca="false">SUMPRODUCT((Vervangingsplanning!$E$8:$E$87="Lease-koop")*(Vervangingsplanning!$O$8:$O$87=E$4)*Vervangingsplanning!$N$8:$N$87)</f>
        <v>0</v>
      </c>
      <c r="F7" s="23" t="n">
        <f aca="false">SUMPRODUCT((Vervangingsplanning!$E$8:$E$87="Lease-koop")*(Vervangingsplanning!$O$8:$O$87=F$4)*Vervangingsplanning!$N$8:$N$87)</f>
        <v>35000</v>
      </c>
      <c r="G7" s="23" t="n">
        <f aca="false">SUMPRODUCT((Vervangingsplanning!$E$8:$E$87="Lease-koop")*(Vervangingsplanning!$O$8:$O$87=G$4)*Vervangingsplanning!$N$8:$N$87)</f>
        <v>0</v>
      </c>
      <c r="H7" s="23" t="n">
        <f aca="false">SUMPRODUCT((Vervangingsplanning!$E$8:$E$87="Lease-koop")*(Vervangingsplanning!$O$8:$O$87=H$4)*Vervangingsplanning!$N$8:$N$87)</f>
        <v>35000</v>
      </c>
      <c r="I7" s="23" t="n">
        <f aca="false">SUMPRODUCT((Vervangingsplanning!$E$8:$E$87="Lease-koop")*(Vervangingsplanning!$O$8:$O$87=I$4)*Vervangingsplanning!$N$8:$N$87)</f>
        <v>105000</v>
      </c>
      <c r="J7" s="28" t="n">
        <f aca="false">SUM(B7:I7)</f>
        <v>210000</v>
      </c>
    </row>
    <row r="8" customFormat="false" ht="15" hidden="false" customHeight="false" outlineLevel="0" collapsed="false">
      <c r="A8" s="22" t="s">
        <v>329</v>
      </c>
      <c r="B8" s="23" t="n">
        <f aca="false">SUMIF(Vervangingsplanning!$X$8:$X$87,B$4,Vervangingsplanning!$W$8:$W$87)</f>
        <v>0</v>
      </c>
      <c r="C8" s="23" t="n">
        <f aca="false">SUMIF(Vervangingsplanning!$X$8:$X$87,C$4,Vervangingsplanning!$W$8:$W$87)</f>
        <v>191800</v>
      </c>
      <c r="D8" s="23" t="n">
        <f aca="false">SUMIF(Vervangingsplanning!$X$8:$X$87,D$4,Vervangingsplanning!$W$8:$W$87)</f>
        <v>0</v>
      </c>
      <c r="E8" s="23" t="n">
        <f aca="false">SUMIF(Vervangingsplanning!$X$8:$X$87,E$4,Vervangingsplanning!$W$8:$W$87)</f>
        <v>0</v>
      </c>
      <c r="F8" s="23" t="n">
        <f aca="false">SUMIF(Vervangingsplanning!$X$8:$X$87,F$4,Vervangingsplanning!$W$8:$W$87)</f>
        <v>0</v>
      </c>
      <c r="G8" s="23" t="n">
        <f aca="false">SUMIF(Vervangingsplanning!$X$8:$X$87,G$4,Vervangingsplanning!$W$8:$W$87)</f>
        <v>0</v>
      </c>
      <c r="H8" s="23" t="n">
        <f aca="false">SUMIF(Vervangingsplanning!$X$8:$X$87,H$4,Vervangingsplanning!$W$8:$W$87)</f>
        <v>0</v>
      </c>
      <c r="I8" s="23" t="n">
        <f aca="false">SUMIF(Vervangingsplanning!$X$8:$X$87,I$4,Vervangingsplanning!$W$8:$W$87)</f>
        <v>0</v>
      </c>
      <c r="J8" s="28" t="n">
        <f aca="false">SUM(B8:I8)</f>
        <v>191800</v>
      </c>
    </row>
    <row r="9" customFormat="false" ht="15" hidden="false" customHeight="false" outlineLevel="0" collapsed="false">
      <c r="A9" s="22" t="s">
        <v>330</v>
      </c>
      <c r="B9" s="23" t="n">
        <f aca="false">SUMPRODUCT((Vervangingsplanning!$E$8:$E$87="Koop")*(Vervangingsplanning!$I$8:$I$87=B$4)*Vervangingsplanning!$P$8:$P$87)</f>
        <v>300000</v>
      </c>
      <c r="C9" s="23" t="n">
        <f aca="false">SUMPRODUCT((Vervangingsplanning!$E$8:$E$87="Koop")*(Vervangingsplanning!$I$8:$I$87=C$4)*Vervangingsplanning!$P$8:$P$87)</f>
        <v>50000</v>
      </c>
      <c r="D9" s="23" t="n">
        <f aca="false">SUMPRODUCT((Vervangingsplanning!$E$8:$E$87="Koop")*(Vervangingsplanning!$I$8:$I$87=D$4)*Vervangingsplanning!$P$8:$P$87)</f>
        <v>100000</v>
      </c>
      <c r="E9" s="23" t="n">
        <f aca="false">SUMPRODUCT((Vervangingsplanning!$E$8:$E$87="Koop")*(Vervangingsplanning!$I$8:$I$87=E$4)*Vervangingsplanning!$P$8:$P$87)</f>
        <v>0</v>
      </c>
      <c r="F9" s="23" t="n">
        <f aca="false">SUMPRODUCT((Vervangingsplanning!$E$8:$E$87="Koop")*(Vervangingsplanning!$I$8:$I$87=F$4)*Vervangingsplanning!$P$8:$P$87)</f>
        <v>0</v>
      </c>
      <c r="G9" s="23" t="n">
        <f aca="false">SUMPRODUCT((Vervangingsplanning!$E$8:$E$87="Koop")*(Vervangingsplanning!$I$8:$I$87=G$4)*Vervangingsplanning!$P$8:$P$87)</f>
        <v>248960</v>
      </c>
      <c r="H9" s="23" t="n">
        <f aca="false">SUMPRODUCT((Vervangingsplanning!$E$8:$E$87="Koop")*(Vervangingsplanning!$I$8:$I$87=H$4)*Vervangingsplanning!$P$8:$P$87)</f>
        <v>19000</v>
      </c>
      <c r="I9" s="23" t="n">
        <f aca="false">SUMPRODUCT((Vervangingsplanning!$E$8:$E$87="Koop")*(Vervangingsplanning!$I$8:$I$87=I$4)*Vervangingsplanning!$P$8:$P$87)</f>
        <v>51100</v>
      </c>
      <c r="J9" s="28" t="n">
        <f aca="false">SUM(B9:I9)</f>
        <v>769060</v>
      </c>
    </row>
    <row r="10" customFormat="false" ht="15" hidden="false" customHeight="false" outlineLevel="0" collapsed="false">
      <c r="A10" s="15" t="s">
        <v>331</v>
      </c>
      <c r="B10" s="16" t="n">
        <f aca="false">SUM(B6:B9)</f>
        <v>322000</v>
      </c>
      <c r="C10" s="16" t="n">
        <f aca="false">SUM(C6:C9)</f>
        <v>241800</v>
      </c>
      <c r="D10" s="16" t="n">
        <f aca="false">SUM(D6:D9)</f>
        <v>157000</v>
      </c>
      <c r="E10" s="16" t="n">
        <f aca="false">SUM(E6:E9)</f>
        <v>0</v>
      </c>
      <c r="F10" s="16" t="n">
        <f aca="false">SUM(F6:F9)</f>
        <v>57000</v>
      </c>
      <c r="G10" s="16" t="n">
        <f aca="false">SUM(G6:G9)</f>
        <v>314960</v>
      </c>
      <c r="H10" s="16" t="n">
        <f aca="false">SUM(H6:H9)</f>
        <v>76000</v>
      </c>
      <c r="I10" s="16" t="n">
        <f aca="false">SUM(I6:I9)</f>
        <v>310100</v>
      </c>
      <c r="J10" s="16" t="n">
        <f aca="false">SUM(J6:J9)</f>
        <v>1478860</v>
      </c>
    </row>
    <row r="11" customFormat="false" ht="15" hidden="false" customHeight="false" outlineLevel="0" collapsed="false">
      <c r="A11" s="5" t="s">
        <v>332</v>
      </c>
      <c r="B11" s="29" t="n">
        <f aca="false">B10-Vervangingsplanning!AA5</f>
        <v>0</v>
      </c>
      <c r="C11" s="29" t="n">
        <f aca="false">C10-Vervangingsplanning!AB5</f>
        <v>0</v>
      </c>
      <c r="D11" s="29" t="n">
        <f aca="false">D10-Vervangingsplanning!AC5</f>
        <v>0</v>
      </c>
      <c r="E11" s="29" t="n">
        <f aca="false">E10-Vervangingsplanning!AD5</f>
        <v>0</v>
      </c>
      <c r="F11" s="29" t="n">
        <f aca="false">F10-Vervangingsplanning!AE5</f>
        <v>0</v>
      </c>
      <c r="G11" s="29" t="n">
        <f aca="false">G10-Vervangingsplanning!AF5</f>
        <v>0</v>
      </c>
      <c r="H11" s="29" t="n">
        <f aca="false">H10-Vervangingsplanning!AG5</f>
        <v>0</v>
      </c>
      <c r="I11" s="29" t="n">
        <f aca="false">I10-Vervangingsplanning!AH5</f>
        <v>0</v>
      </c>
    </row>
    <row r="13" customFormat="false" ht="15" hidden="false" customHeight="false" outlineLevel="0" collapsed="false">
      <c r="A13" s="15" t="s">
        <v>333</v>
      </c>
      <c r="B13" s="24" t="n">
        <f aca="false">Vervangingsplanning!AJ5</f>
        <v>0</v>
      </c>
      <c r="C13" s="24" t="n">
        <f aca="false">Vervangingsplanning!AK5</f>
        <v>32833.3333333333</v>
      </c>
      <c r="D13" s="24" t="n">
        <f aca="false">Vervangingsplanning!AL5</f>
        <v>82435</v>
      </c>
      <c r="E13" s="24" t="n">
        <f aca="false">Vervangingsplanning!AM5</f>
        <v>96935</v>
      </c>
      <c r="F13" s="24" t="n">
        <f aca="false">Vervangingsplanning!AN5</f>
        <v>96935</v>
      </c>
      <c r="G13" s="24" t="n">
        <f aca="false">Vervangingsplanning!AO5</f>
        <v>106435</v>
      </c>
      <c r="H13" s="24" t="n">
        <f aca="false">Vervangingsplanning!AP5</f>
        <v>137555</v>
      </c>
      <c r="I13" s="24" t="n">
        <f aca="false">Vervangingsplanning!AQ5</f>
        <v>148955</v>
      </c>
      <c r="J13" s="28" t="n">
        <f aca="false">SUM(B13:I13)</f>
        <v>702083.333333333</v>
      </c>
    </row>
    <row r="14" customFormat="false" ht="15" hidden="false" customHeight="false" outlineLevel="0" collapsed="false">
      <c r="A14" s="5" t="s">
        <v>334</v>
      </c>
    </row>
    <row r="16" customFormat="false" ht="15" hidden="false" customHeight="false" outlineLevel="0" collapsed="false">
      <c r="A16" s="15" t="s">
        <v>335</v>
      </c>
      <c r="B16" s="23" t="n">
        <f aca="false">SUMPRODUCT((Vervangingsplanning!$E$8:$E$87="Lease-koop")*(Vervangingsplanning!$I$8:$I$87&lt;=B$4)*(Vervangingsplanning!$O$8:$O$87&gt;B$4)*Vervangingsplanning!$U$8:$U$87)+SUMPRODUCT((Vervangingsplanning!$W$8:$W$87&gt;0)*(Vervangingsplanning!$F$8:$F$87&lt;=B$4)*(Vervangingsplanning!$X$8:$X$87&gt;B$4)*Vervangingsplanning!$Y$8:$Y$87)</f>
        <v>86535.6148760331</v>
      </c>
      <c r="C16" s="23" t="n">
        <f aca="false">SUMPRODUCT((Vervangingsplanning!$E$8:$E$87="Lease-koop")*(Vervangingsplanning!$I$8:$I$87&lt;=C$4)*(Vervangingsplanning!$O$8:$O$87&gt;C$4)*Vervangingsplanning!$U$8:$U$87)+SUMPRODUCT((Vervangingsplanning!$W$8:$W$87&gt;0)*(Vervangingsplanning!$F$8:$F$87&lt;=C$4)*(Vervangingsplanning!$X$8:$X$87&gt;C$4)*Vervangingsplanning!$Y$8:$Y$87)</f>
        <v>12000</v>
      </c>
      <c r="D16" s="23" t="n">
        <f aca="false">SUMPRODUCT((Vervangingsplanning!$E$8:$E$87="Lease-koop")*(Vervangingsplanning!$I$8:$I$87&lt;=D$4)*(Vervangingsplanning!$O$8:$O$87&gt;D$4)*Vervangingsplanning!$U$8:$U$87)+SUMPRODUCT((Vervangingsplanning!$W$8:$W$87&gt;0)*(Vervangingsplanning!$F$8:$F$87&lt;=D$4)*(Vervangingsplanning!$X$8:$X$87&gt;D$4)*Vervangingsplanning!$Y$8:$Y$87)</f>
        <v>12000</v>
      </c>
      <c r="E16" s="23" t="n">
        <f aca="false">SUMPRODUCT((Vervangingsplanning!$E$8:$E$87="Lease-koop")*(Vervangingsplanning!$I$8:$I$87&lt;=E$4)*(Vervangingsplanning!$O$8:$O$87&gt;E$4)*Vervangingsplanning!$U$8:$U$87)+SUMPRODUCT((Vervangingsplanning!$W$8:$W$87&gt;0)*(Vervangingsplanning!$F$8:$F$87&lt;=E$4)*(Vervangingsplanning!$X$8:$X$87&gt;E$4)*Vervangingsplanning!$Y$8:$Y$87)</f>
        <v>12000</v>
      </c>
      <c r="F16" s="23" t="n">
        <f aca="false">SUMPRODUCT((Vervangingsplanning!$E$8:$E$87="Lease-koop")*(Vervangingsplanning!$I$8:$I$87&lt;=F$4)*(Vervangingsplanning!$O$8:$O$87&gt;F$4)*Vervangingsplanning!$U$8:$U$87)+SUMPRODUCT((Vervangingsplanning!$W$8:$W$87&gt;0)*(Vervangingsplanning!$F$8:$F$87&lt;=F$4)*(Vervangingsplanning!$X$8:$X$87&gt;F$4)*Vervangingsplanning!$Y$8:$Y$87)</f>
        <v>12000</v>
      </c>
      <c r="G16" s="23" t="n">
        <f aca="false">SUMPRODUCT((Vervangingsplanning!$E$8:$E$87="Lease-koop")*(Vervangingsplanning!$I$8:$I$87&lt;=G$4)*(Vervangingsplanning!$O$8:$O$87&gt;G$4)*Vervangingsplanning!$U$8:$U$87)+SUMPRODUCT((Vervangingsplanning!$W$8:$W$87&gt;0)*(Vervangingsplanning!$F$8:$F$87&lt;=G$4)*(Vervangingsplanning!$X$8:$X$87&gt;G$4)*Vervangingsplanning!$Y$8:$Y$87)</f>
        <v>48000</v>
      </c>
      <c r="H16" s="23" t="n">
        <f aca="false">SUMPRODUCT((Vervangingsplanning!$E$8:$E$87="Lease-koop")*(Vervangingsplanning!$I$8:$I$87&lt;=H$4)*(Vervangingsplanning!$O$8:$O$87&gt;H$4)*Vervangingsplanning!$U$8:$U$87)+SUMPRODUCT((Vervangingsplanning!$W$8:$W$87&gt;0)*(Vervangingsplanning!$F$8:$F$87&lt;=H$4)*(Vervangingsplanning!$X$8:$X$87&gt;H$4)*Vervangingsplanning!$Y$8:$Y$87)</f>
        <v>48000</v>
      </c>
      <c r="I16" s="23" t="n">
        <f aca="false">SUMPRODUCT((Vervangingsplanning!$E$8:$E$87="Lease-koop")*(Vervangingsplanning!$I$8:$I$87&lt;=I$4)*(Vervangingsplanning!$O$8:$O$87&gt;I$4)*Vervangingsplanning!$U$8:$U$87)+SUMPRODUCT((Vervangingsplanning!$W$8:$W$87&gt;0)*(Vervangingsplanning!$F$8:$F$87&lt;=I$4)*(Vervangingsplanning!$X$8:$X$87&gt;I$4)*Vervangingsplanning!$Y$8:$Y$87)</f>
        <v>96000</v>
      </c>
      <c r="J16" s="28" t="n">
        <f aca="false">SUM(B16:I16)</f>
        <v>326535.614876033</v>
      </c>
    </row>
    <row r="17" customFormat="false" ht="15" hidden="false" customHeight="false" outlineLevel="0" collapsed="false">
      <c r="A17" s="5" t="s">
        <v>336</v>
      </c>
    </row>
    <row r="19" customFormat="false" ht="15" hidden="false" customHeight="false" outlineLevel="0" collapsed="false">
      <c r="A19" s="15" t="s">
        <v>337</v>
      </c>
      <c r="B19" s="30" t="n">
        <f aca="false">COUNTA('In gebruik'!$A$5:$A$300)</f>
        <v>27</v>
      </c>
    </row>
    <row r="20" customFormat="false" ht="15" hidden="false" customHeight="false" outlineLevel="0" collapsed="false">
      <c r="A20" s="22" t="s">
        <v>338</v>
      </c>
      <c r="B20" s="31" t="n">
        <f aca="false">COUNTIF('In gebruik'!$H:$H,"personenauto")</f>
        <v>7</v>
      </c>
    </row>
    <row r="21" customFormat="false" ht="15" hidden="false" customHeight="false" outlineLevel="0" collapsed="false">
      <c r="A21" s="22" t="s">
        <v>339</v>
      </c>
      <c r="B21" s="31" t="n">
        <f aca="false">COUNTIF('In gebruik'!$H:$H,"bedrijfsauto")</f>
        <v>11</v>
      </c>
    </row>
    <row r="22" customFormat="false" ht="15" hidden="false" customHeight="false" outlineLevel="0" collapsed="false">
      <c r="A22" s="22" t="s">
        <v>340</v>
      </c>
      <c r="B22" s="31" t="n">
        <f aca="false">COUNTIF('In gebruik'!$H:$H,"vrachtwagen")</f>
        <v>2</v>
      </c>
    </row>
    <row r="23" customFormat="false" ht="15" hidden="false" customHeight="false" outlineLevel="0" collapsed="false">
      <c r="A23" s="22" t="s">
        <v>341</v>
      </c>
      <c r="B23" s="31" t="n">
        <f aca="false">COUNTIF('In gebruik'!$H:$H,"Rioolvoertuig")</f>
        <v>1</v>
      </c>
    </row>
    <row r="24" customFormat="false" ht="15" hidden="false" customHeight="false" outlineLevel="0" collapsed="false">
      <c r="A24" s="22" t="s">
        <v>342</v>
      </c>
      <c r="B24" s="31" t="n">
        <f aca="false">COUNTIF('In gebruik'!$H:$H,"tractor")</f>
        <v>4</v>
      </c>
    </row>
    <row r="25" customFormat="false" ht="15" hidden="false" customHeight="false" outlineLevel="0" collapsed="false">
      <c r="A25" s="22" t="s">
        <v>343</v>
      </c>
      <c r="B25" s="31" t="n">
        <f aca="false">COUNTIF('In gebruik'!$H:$H,"vorkheftruck")</f>
        <v>2</v>
      </c>
    </row>
    <row r="26" customFormat="false" ht="15" hidden="false" customHeight="false" outlineLevel="0" collapsed="false">
      <c r="A26" s="22" t="s">
        <v>344</v>
      </c>
      <c r="B26" s="31" t="n">
        <f aca="false">COUNTIF(Vervangingsplanning!$J$8:$J$87,"Over levensduur")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4" t="s">
        <v>345</v>
      </c>
    </row>
    <row r="2" customFormat="false" ht="15" hidden="false" customHeight="false" outlineLevel="0" collapsed="false">
      <c r="A2" s="5" t="s">
        <v>346</v>
      </c>
    </row>
    <row r="4" customFormat="false" ht="15" hidden="false" customHeight="false" outlineLevel="0" collapsed="false">
      <c r="A4" s="6" t="s">
        <v>347</v>
      </c>
      <c r="B4" s="6" t="s">
        <v>348</v>
      </c>
      <c r="C4" s="6" t="s">
        <v>349</v>
      </c>
    </row>
    <row r="5" customFormat="false" ht="15" hidden="false" customHeight="false" outlineLevel="0" collapsed="false">
      <c r="A5" s="22" t="s">
        <v>350</v>
      </c>
      <c r="B5" s="14" t="n">
        <v>2027</v>
      </c>
      <c r="C5" s="5" t="s">
        <v>351</v>
      </c>
    </row>
    <row r="6" customFormat="false" ht="15" hidden="false" customHeight="false" outlineLevel="0" collapsed="false">
      <c r="A6" s="15" t="s">
        <v>352</v>
      </c>
    </row>
    <row r="7" customFormat="false" ht="15" hidden="false" customHeight="false" outlineLevel="0" collapsed="false">
      <c r="A7" s="22" t="s">
        <v>353</v>
      </c>
      <c r="B7" s="32" t="n">
        <v>10000</v>
      </c>
      <c r="C7" s="5" t="s">
        <v>354</v>
      </c>
    </row>
    <row r="8" customFormat="false" ht="15" hidden="false" customHeight="false" outlineLevel="0" collapsed="false">
      <c r="A8" s="22" t="s">
        <v>355</v>
      </c>
      <c r="B8" s="32" t="n">
        <v>5000</v>
      </c>
      <c r="C8" s="5" t="s">
        <v>354</v>
      </c>
    </row>
    <row r="9" customFormat="false" ht="15" hidden="false" customHeight="false" outlineLevel="0" collapsed="false">
      <c r="A9" s="22" t="s">
        <v>356</v>
      </c>
      <c r="B9" s="32" t="n">
        <v>7000</v>
      </c>
      <c r="C9" s="5" t="s">
        <v>354</v>
      </c>
    </row>
    <row r="10" customFormat="false" ht="15" hidden="false" customHeight="false" outlineLevel="0" collapsed="false">
      <c r="A10" s="22" t="s">
        <v>357</v>
      </c>
      <c r="B10" s="32" t="n">
        <v>35000</v>
      </c>
      <c r="C10" s="5" t="s">
        <v>354</v>
      </c>
    </row>
    <row r="11" customFormat="false" ht="15" hidden="false" customHeight="false" outlineLevel="0" collapsed="false">
      <c r="A11" s="22" t="s">
        <v>358</v>
      </c>
      <c r="B11" s="33" t="n">
        <v>2</v>
      </c>
      <c r="C11" s="5" t="s">
        <v>359</v>
      </c>
    </row>
    <row r="12" customFormat="false" ht="15" hidden="false" customHeight="false" outlineLevel="0" collapsed="false">
      <c r="A12" s="22" t="s">
        <v>360</v>
      </c>
      <c r="B12" s="33" t="n">
        <v>8</v>
      </c>
      <c r="C12" s="5" t="s">
        <v>361</v>
      </c>
    </row>
    <row r="13" customFormat="false" ht="15" hidden="false" customHeight="false" outlineLevel="0" collapsed="false">
      <c r="A13" s="22" t="s">
        <v>362</v>
      </c>
      <c r="B13" s="33" t="n">
        <v>6</v>
      </c>
      <c r="C13" s="5" t="s">
        <v>363</v>
      </c>
    </row>
    <row r="14" customFormat="false" ht="15" hidden="false" customHeight="false" outlineLevel="0" collapsed="false">
      <c r="A14" s="22" t="s">
        <v>364</v>
      </c>
      <c r="B14" s="32" t="n">
        <v>12000</v>
      </c>
      <c r="C14" s="5" t="s">
        <v>365</v>
      </c>
    </row>
    <row r="15" customFormat="false" ht="15" hidden="false" customHeight="false" outlineLevel="0" collapsed="false">
      <c r="A15" s="15" t="s">
        <v>330</v>
      </c>
    </row>
    <row r="16" customFormat="false" ht="15" hidden="false" customHeight="false" outlineLevel="0" collapsed="false">
      <c r="A16" s="5" t="s">
        <v>366</v>
      </c>
    </row>
    <row r="18" customFormat="false" ht="15" hidden="false" customHeight="false" outlineLevel="0" collapsed="false">
      <c r="A18" s="15" t="s">
        <v>367</v>
      </c>
    </row>
    <row r="19" customFormat="false" ht="15" hidden="false" customHeight="false" outlineLevel="0" collapsed="false">
      <c r="A19" s="22" t="s">
        <v>58</v>
      </c>
    </row>
    <row r="20" customFormat="false" ht="15" hidden="false" customHeight="false" outlineLevel="0" collapsed="false">
      <c r="A20" s="22" t="s">
        <v>88</v>
      </c>
    </row>
    <row r="21" customFormat="false" ht="15" hidden="false" customHeight="false" outlineLevel="0" collapsed="false">
      <c r="A21" s="22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0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4" t="s">
        <v>368</v>
      </c>
    </row>
    <row r="3" customFormat="false" ht="23.85" hidden="false" customHeight="false" outlineLevel="0" collapsed="false">
      <c r="A3" s="6" t="s">
        <v>369</v>
      </c>
      <c r="B3" s="6" t="s">
        <v>29</v>
      </c>
      <c r="C3" s="6" t="s">
        <v>370</v>
      </c>
      <c r="D3" s="6" t="s">
        <v>371</v>
      </c>
    </row>
    <row r="4" customFormat="false" ht="15" hidden="false" customHeight="false" outlineLevel="0" collapsed="false">
      <c r="A4" s="22" t="n">
        <v>1</v>
      </c>
      <c r="B4" s="22" t="s">
        <v>71</v>
      </c>
      <c r="C4" s="2" t="s">
        <v>79</v>
      </c>
      <c r="D4" s="34" t="s">
        <v>372</v>
      </c>
    </row>
    <row r="5" customFormat="false" ht="15" hidden="false" customHeight="false" outlineLevel="0" collapsed="false">
      <c r="A5" s="22" t="n">
        <v>2</v>
      </c>
      <c r="B5" s="22" t="s">
        <v>90</v>
      </c>
      <c r="C5" s="2" t="s">
        <v>100</v>
      </c>
      <c r="D5" s="34" t="s">
        <v>372</v>
      </c>
    </row>
    <row r="6" customFormat="false" ht="15" hidden="false" customHeight="false" outlineLevel="0" collapsed="false">
      <c r="A6" s="22" t="n">
        <v>3</v>
      </c>
      <c r="B6" s="22" t="s">
        <v>101</v>
      </c>
      <c r="C6" s="2" t="s">
        <v>109</v>
      </c>
      <c r="D6" s="34" t="s">
        <v>372</v>
      </c>
    </row>
    <row r="7" customFormat="false" ht="15" hidden="false" customHeight="false" outlineLevel="0" collapsed="false">
      <c r="A7" s="22" t="n">
        <v>4</v>
      </c>
      <c r="B7" s="22" t="s">
        <v>110</v>
      </c>
      <c r="C7" s="2" t="s">
        <v>118</v>
      </c>
      <c r="D7" s="34" t="s">
        <v>372</v>
      </c>
    </row>
    <row r="8" customFormat="false" ht="15" hidden="false" customHeight="false" outlineLevel="0" collapsed="false">
      <c r="A8" s="22" t="n">
        <v>5</v>
      </c>
      <c r="B8" s="22" t="s">
        <v>119</v>
      </c>
      <c r="C8" s="2" t="s">
        <v>124</v>
      </c>
      <c r="D8" s="34" t="s">
        <v>372</v>
      </c>
    </row>
    <row r="9" customFormat="false" ht="15" hidden="false" customHeight="false" outlineLevel="0" collapsed="false">
      <c r="A9" s="22" t="n">
        <v>6</v>
      </c>
      <c r="B9" s="22" t="s">
        <v>125</v>
      </c>
      <c r="C9" s="2" t="s">
        <v>130</v>
      </c>
      <c r="D9" s="34" t="s">
        <v>372</v>
      </c>
    </row>
    <row r="10" customFormat="false" ht="15" hidden="false" customHeight="false" outlineLevel="0" collapsed="false">
      <c r="A10" s="22" t="n">
        <v>7</v>
      </c>
      <c r="B10" s="22" t="s">
        <v>131</v>
      </c>
      <c r="C10" s="2" t="s">
        <v>137</v>
      </c>
      <c r="D10" s="34" t="s">
        <v>372</v>
      </c>
    </row>
    <row r="11" customFormat="false" ht="15" hidden="false" customHeight="false" outlineLevel="0" collapsed="false">
      <c r="A11" s="22" t="n">
        <v>8</v>
      </c>
      <c r="B11" s="22" t="s">
        <v>138</v>
      </c>
      <c r="C11" s="2" t="s">
        <v>143</v>
      </c>
      <c r="D11" s="34" t="s">
        <v>372</v>
      </c>
    </row>
    <row r="12" customFormat="false" ht="15" hidden="false" customHeight="false" outlineLevel="0" collapsed="false">
      <c r="A12" s="22" t="n">
        <v>9</v>
      </c>
      <c r="B12" s="22" t="s">
        <v>151</v>
      </c>
      <c r="C12" s="2" t="s">
        <v>156</v>
      </c>
      <c r="D12" s="34" t="s">
        <v>372</v>
      </c>
    </row>
    <row r="13" customFormat="false" ht="15" hidden="false" customHeight="false" outlineLevel="0" collapsed="false">
      <c r="A13" s="22" t="n">
        <v>10</v>
      </c>
      <c r="B13" s="22" t="s">
        <v>157</v>
      </c>
      <c r="C13" s="2" t="s">
        <v>162</v>
      </c>
      <c r="D13" s="34" t="s">
        <v>372</v>
      </c>
    </row>
    <row r="14" customFormat="false" ht="15" hidden="false" customHeight="false" outlineLevel="0" collapsed="false">
      <c r="A14" s="22" t="n">
        <v>11</v>
      </c>
      <c r="B14" s="22" t="s">
        <v>163</v>
      </c>
      <c r="C14" s="2" t="s">
        <v>143</v>
      </c>
      <c r="D14" s="34" t="s">
        <v>372</v>
      </c>
    </row>
    <row r="15" customFormat="false" ht="15" hidden="false" customHeight="false" outlineLevel="0" collapsed="false">
      <c r="A15" s="22" t="n">
        <v>12</v>
      </c>
      <c r="B15" s="22" t="s">
        <v>168</v>
      </c>
      <c r="C15" s="2" t="s">
        <v>172</v>
      </c>
      <c r="D15" s="34" t="s">
        <v>372</v>
      </c>
    </row>
    <row r="16" customFormat="false" ht="15" hidden="false" customHeight="false" outlineLevel="0" collapsed="false">
      <c r="A16" s="22" t="n">
        <v>13</v>
      </c>
      <c r="B16" s="22" t="s">
        <v>173</v>
      </c>
      <c r="C16" s="2" t="s">
        <v>178</v>
      </c>
      <c r="D16" s="34" t="s">
        <v>372</v>
      </c>
    </row>
    <row r="17" customFormat="false" ht="15" hidden="false" customHeight="false" outlineLevel="0" collapsed="false">
      <c r="A17" s="22" t="n">
        <v>14</v>
      </c>
      <c r="B17" s="22" t="s">
        <v>192</v>
      </c>
      <c r="C17" s="2" t="s">
        <v>195</v>
      </c>
      <c r="D17" s="34" t="s">
        <v>372</v>
      </c>
    </row>
    <row r="18" customFormat="false" ht="15" hidden="false" customHeight="false" outlineLevel="0" collapsed="false">
      <c r="A18" s="22" t="n">
        <v>15</v>
      </c>
      <c r="B18" s="22" t="s">
        <v>196</v>
      </c>
      <c r="C18" s="2" t="s">
        <v>130</v>
      </c>
      <c r="D18" s="34" t="s">
        <v>372</v>
      </c>
    </row>
    <row r="19" customFormat="false" ht="15" hidden="false" customHeight="false" outlineLevel="0" collapsed="false">
      <c r="A19" s="22" t="n">
        <v>16</v>
      </c>
      <c r="B19" s="22" t="s">
        <v>205</v>
      </c>
      <c r="C19" s="2" t="s">
        <v>209</v>
      </c>
      <c r="D19" s="34" t="s">
        <v>372</v>
      </c>
    </row>
    <row r="20" customFormat="false" ht="15" hidden="false" customHeight="false" outlineLevel="0" collapsed="false">
      <c r="A20" s="22" t="n">
        <v>17</v>
      </c>
      <c r="B20" s="22" t="s">
        <v>210</v>
      </c>
      <c r="C20" s="2" t="s">
        <v>217</v>
      </c>
      <c r="D20" s="34" t="s">
        <v>372</v>
      </c>
    </row>
    <row r="21" customFormat="false" ht="15" hidden="false" customHeight="false" outlineLevel="0" collapsed="false">
      <c r="A21" s="22" t="n">
        <v>18</v>
      </c>
      <c r="B21" s="22" t="s">
        <v>218</v>
      </c>
      <c r="C21" s="2" t="s">
        <v>217</v>
      </c>
      <c r="D21" s="34" t="s">
        <v>372</v>
      </c>
    </row>
    <row r="22" customFormat="false" ht="15" hidden="false" customHeight="false" outlineLevel="0" collapsed="false">
      <c r="A22" s="22" t="n">
        <v>19</v>
      </c>
      <c r="B22" s="22" t="s">
        <v>222</v>
      </c>
      <c r="C22" s="2" t="s">
        <v>229</v>
      </c>
      <c r="D22" s="34" t="s">
        <v>372</v>
      </c>
    </row>
    <row r="23" customFormat="false" ht="15" hidden="false" customHeight="false" outlineLevel="0" collapsed="false">
      <c r="A23" s="22" t="n">
        <v>20</v>
      </c>
      <c r="B23" s="22" t="s">
        <v>373</v>
      </c>
      <c r="C23" s="2" t="s">
        <v>260</v>
      </c>
      <c r="D23" s="34" t="s">
        <v>372</v>
      </c>
    </row>
    <row r="24" customFormat="false" ht="15" hidden="false" customHeight="false" outlineLevel="0" collapsed="false">
      <c r="A24" s="22" t="n">
        <v>21</v>
      </c>
      <c r="B24" s="22" t="s">
        <v>374</v>
      </c>
      <c r="C24" s="2" t="s">
        <v>267</v>
      </c>
      <c r="D24" s="34" t="s">
        <v>372</v>
      </c>
    </row>
    <row r="25" customFormat="false" ht="15" hidden="false" customHeight="false" outlineLevel="0" collapsed="false">
      <c r="A25" s="22" t="n">
        <v>22</v>
      </c>
      <c r="B25" s="22" t="s">
        <v>375</v>
      </c>
      <c r="C25" s="2" t="s">
        <v>267</v>
      </c>
      <c r="D25" s="34" t="s">
        <v>372</v>
      </c>
    </row>
    <row r="26" customFormat="false" ht="15" hidden="false" customHeight="false" outlineLevel="0" collapsed="false">
      <c r="A26" s="22" t="n">
        <v>23</v>
      </c>
      <c r="B26" s="22" t="s">
        <v>376</v>
      </c>
      <c r="C26" s="2" t="s">
        <v>283</v>
      </c>
      <c r="D26" s="34" t="s">
        <v>372</v>
      </c>
    </row>
    <row r="27" customFormat="false" ht="15" hidden="false" customHeight="false" outlineLevel="0" collapsed="false">
      <c r="A27" s="22" t="n">
        <v>24</v>
      </c>
      <c r="B27" s="22" t="s">
        <v>377</v>
      </c>
      <c r="C27" s="2" t="s">
        <v>286</v>
      </c>
      <c r="D27" s="34" t="s">
        <v>372</v>
      </c>
    </row>
    <row r="28" customFormat="false" ht="15" hidden="false" customHeight="false" outlineLevel="0" collapsed="false">
      <c r="A28" s="22" t="n">
        <v>25</v>
      </c>
      <c r="B28" s="22" t="s">
        <v>378</v>
      </c>
      <c r="C28" s="2" t="s">
        <v>289</v>
      </c>
      <c r="D28" s="34" t="s">
        <v>372</v>
      </c>
    </row>
    <row r="29" customFormat="false" ht="15" hidden="false" customHeight="false" outlineLevel="0" collapsed="false">
      <c r="A29" s="22" t="n">
        <v>26</v>
      </c>
      <c r="B29" s="22" t="s">
        <v>379</v>
      </c>
      <c r="C29" s="2" t="s">
        <v>267</v>
      </c>
      <c r="D29" s="34" t="s">
        <v>372</v>
      </c>
    </row>
    <row r="30" customFormat="false" ht="23.85" hidden="false" customHeight="false" outlineLevel="0" collapsed="false">
      <c r="A30" s="22" t="n">
        <v>27</v>
      </c>
      <c r="B30" s="22" t="s">
        <v>213</v>
      </c>
      <c r="C30" s="2" t="s">
        <v>380</v>
      </c>
      <c r="D30" s="34" t="s">
        <v>372</v>
      </c>
    </row>
    <row r="31" customFormat="false" ht="15" hidden="false" customHeight="false" outlineLevel="0" collapsed="false">
      <c r="A31" s="22" t="n">
        <v>28</v>
      </c>
      <c r="B31" s="22" t="s">
        <v>213</v>
      </c>
      <c r="C31" s="2" t="s">
        <v>381</v>
      </c>
      <c r="D31" s="34" t="s">
        <v>372</v>
      </c>
    </row>
    <row r="32" customFormat="false" ht="23.85" hidden="false" customHeight="false" outlineLevel="0" collapsed="false">
      <c r="A32" s="22" t="n">
        <v>29</v>
      </c>
      <c r="B32" s="22" t="s">
        <v>213</v>
      </c>
      <c r="C32" s="2" t="s">
        <v>382</v>
      </c>
      <c r="D32" s="34" t="s">
        <v>372</v>
      </c>
    </row>
    <row r="33" customFormat="false" ht="15" hidden="false" customHeight="false" outlineLevel="0" collapsed="false">
      <c r="A33" s="22" t="n">
        <v>30</v>
      </c>
      <c r="B33" s="22" t="s">
        <v>213</v>
      </c>
      <c r="C33" s="2" t="s">
        <v>383</v>
      </c>
      <c r="D33" s="34" t="s">
        <v>372</v>
      </c>
    </row>
    <row r="34" customFormat="false" ht="15" hidden="false" customHeight="false" outlineLevel="0" collapsed="false">
      <c r="A34" s="22" t="n">
        <v>31</v>
      </c>
      <c r="B34" s="22" t="s">
        <v>213</v>
      </c>
      <c r="C34" s="2" t="s">
        <v>384</v>
      </c>
      <c r="D34" s="34" t="s">
        <v>372</v>
      </c>
    </row>
    <row r="35" customFormat="false" ht="23.85" hidden="false" customHeight="false" outlineLevel="0" collapsed="false">
      <c r="A35" s="22" t="n">
        <v>32</v>
      </c>
      <c r="B35" s="22" t="s">
        <v>385</v>
      </c>
      <c r="C35" s="2" t="s">
        <v>386</v>
      </c>
      <c r="D35" s="34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2026-10-30T09:22:08Z</dcterms:created>
  <dc:creator>openpyxl</dc:creator>
  <dc:description/>
  <dc:language>en-US</dc:language>
  <cp:lastModifiedBy/>
  <dcterms:modified xsi:type="dcterms:W3CDTF">2026-10-30T09:22:09Z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
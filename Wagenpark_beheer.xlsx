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 gebruik" sheetId="1" state="visible" r:id="rId3"/>
    <sheet name="Vervangingsinvesteringen" sheetId="2" state="visible" r:id="rId4"/>
    <sheet name="Buiten gebruik" sheetId="3" state="visible" r:id="rId5"/>
  </sheets>
  <definedNames>
    <definedName function="false" hidden="true" localSheetId="1" name="_xlnm._FilterDatabase" vbProcedure="false">Vervangingsinvesteringen!$A$14:$P$41</definedName>
    <definedName function="false" hidden="false" name="p_Aanbet" vbProcedure="false">Vervangingsinvesteringen!$C$4</definedName>
    <definedName function="false" hidden="false" name="p_Afschr" vbProcedure="false">Vervangingsinvesteringen!$C$10</definedName>
    <definedName function="false" hidden="false" name="p_Belet" vbProcedure="false">Vervangingsinvesteringen!$C$5</definedName>
    <definedName function="false" hidden="false" name="p_Lease" vbProcedure="false">Vervangingsinvesteringen!$C$11</definedName>
    <definedName function="false" hidden="false" name="p_Lev" vbProcedure="false">Vervangingsinvesteringen!$C$9</definedName>
    <definedName function="false" hidden="false" name="p_Opbouw" vbProcedure="false">Vervangingsinvesteringen!$C$6</definedName>
    <definedName function="false" hidden="false" name="p_Slot" vbProcedure="false">Vervangingsinvesteringen!$C$7</definedName>
    <definedName function="false" hidden="false" name="p_SlotJr" vbProcedure="false">Vervangingsinvesteringen!$C$8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<sst xmlns="http://schemas.openxmlformats.org/spreadsheetml/2006/main" count="284" uniqueCount="160">
  <si>
    <t xml:space="preserve">Voertuigen in gebruik</t>
  </si>
  <si>
    <t xml:space="preserve">Lease-koop</t>
  </si>
  <si>
    <t xml:space="preserve">V-nummer</t>
  </si>
  <si>
    <t xml:space="preserve">Kredietnr.</t>
  </si>
  <si>
    <t xml:space="preserve">Kenteken</t>
  </si>
  <si>
    <t xml:space="preserve">Gebruiksdoel</t>
  </si>
  <si>
    <t xml:space="preserve">Aanschafwijze</t>
  </si>
  <si>
    <t xml:space="preserve">Berijder</t>
  </si>
  <si>
    <t xml:space="preserve">Aanschafjaar</t>
  </si>
  <si>
    <t xml:space="preserve">Levensduur</t>
  </si>
  <si>
    <t xml:space="preserve">Aanschafkosten (werkelijk)</t>
  </si>
  <si>
    <t xml:space="preserve">Te activeren in jaar</t>
  </si>
  <si>
    <t xml:space="preserve">Activakaart</t>
  </si>
  <si>
    <t xml:space="preserve">Aanbetaling (raming)</t>
  </si>
  <si>
    <t xml:space="preserve">Bijkomende kosten (raming)</t>
  </si>
  <si>
    <t xml:space="preserve">Slotbetaling (raming)</t>
  </si>
  <si>
    <t xml:space="preserve">Exploitatienr.</t>
  </si>
  <si>
    <t xml:space="preserve">Leasesom 1 jaar</t>
  </si>
  <si>
    <t xml:space="preserve">V01</t>
  </si>
  <si>
    <t xml:space="preserve">26-BXG-9</t>
  </si>
  <si>
    <t xml:space="preserve">Openbare ruimte</t>
  </si>
  <si>
    <t xml:space="preserve">Koop</t>
  </si>
  <si>
    <t xml:space="preserve">Herman v Beerendonk</t>
  </si>
  <si>
    <t xml:space="preserve">V02</t>
  </si>
  <si>
    <t xml:space="preserve">06-BVN-2</t>
  </si>
  <si>
    <t xml:space="preserve">Riolering</t>
  </si>
  <si>
    <t xml:space="preserve">Lau/William</t>
  </si>
  <si>
    <t xml:space="preserve">V03</t>
  </si>
  <si>
    <t xml:space="preserve">BZ-TZ-45</t>
  </si>
  <si>
    <t xml:space="preserve">Gladheidsbestrijding</t>
  </si>
  <si>
    <t xml:space="preserve">STROOIEN</t>
  </si>
  <si>
    <t xml:space="preserve">V04</t>
  </si>
  <si>
    <t xml:space="preserve">V-88-FPL</t>
  </si>
  <si>
    <t xml:space="preserve">Openbare ruimte (straatwerk)</t>
  </si>
  <si>
    <t xml:space="preserve">Marnick/Henry</t>
  </si>
  <si>
    <t xml:space="preserve">V05</t>
  </si>
  <si>
    <t xml:space="preserve">H-872-GK</t>
  </si>
  <si>
    <t xml:space="preserve">Kantoor</t>
  </si>
  <si>
    <t xml:space="preserve">Jos / Martin</t>
  </si>
  <si>
    <t xml:space="preserve">V06</t>
  </si>
  <si>
    <t xml:space="preserve">V-70-NRS</t>
  </si>
  <si>
    <t xml:space="preserve">Cultuur / Bossen</t>
  </si>
  <si>
    <t xml:space="preserve">Jilles Eikelenboom</t>
  </si>
  <si>
    <t xml:space="preserve">V07</t>
  </si>
  <si>
    <t xml:space="preserve">VG-092-L</t>
  </si>
  <si>
    <t xml:space="preserve">Algemene dienst</t>
  </si>
  <si>
    <t xml:space="preserve">Nicolai v/d Heijden</t>
  </si>
  <si>
    <t xml:space="preserve">V08</t>
  </si>
  <si>
    <t xml:space="preserve">V-72-NRS</t>
  </si>
  <si>
    <t xml:space="preserve">Jordy / Robbie</t>
  </si>
  <si>
    <t xml:space="preserve">V09</t>
  </si>
  <si>
    <t xml:space="preserve">Z-684-FB</t>
  </si>
  <si>
    <t xml:space="preserve">Marco</t>
  </si>
  <si>
    <t xml:space="preserve">V10</t>
  </si>
  <si>
    <t xml:space="preserve">V-96-LPT</t>
  </si>
  <si>
    <t xml:space="preserve">Storingsdienst</t>
  </si>
  <si>
    <t xml:space="preserve">V11</t>
  </si>
  <si>
    <t xml:space="preserve">Antoon Kemps</t>
  </si>
  <si>
    <t xml:space="preserve">V12</t>
  </si>
  <si>
    <t xml:space="preserve">V-05-JGK</t>
  </si>
  <si>
    <t xml:space="preserve">Groen</t>
  </si>
  <si>
    <t xml:space="preserve">Addry v Oorschot</t>
  </si>
  <si>
    <t xml:space="preserve">V13</t>
  </si>
  <si>
    <t xml:space="preserve">V-708-FT</t>
  </si>
  <si>
    <t xml:space="preserve">Wil van Dal</t>
  </si>
  <si>
    <t xml:space="preserve">V14</t>
  </si>
  <si>
    <t xml:space="preserve">V-603-LV</t>
  </si>
  <si>
    <t xml:space="preserve">Speeltoestellen / groen</t>
  </si>
  <si>
    <t xml:space="preserve">Ruud Liebrechts</t>
  </si>
  <si>
    <t xml:space="preserve">V15</t>
  </si>
  <si>
    <t xml:space="preserve">Garage</t>
  </si>
  <si>
    <t xml:space="preserve">Pascal Jonkman</t>
  </si>
  <si>
    <t xml:space="preserve">V16</t>
  </si>
  <si>
    <t xml:space="preserve">Sport</t>
  </si>
  <si>
    <t xml:space="preserve">Mark Oerlemans</t>
  </si>
  <si>
    <t xml:space="preserve">V17</t>
  </si>
  <si>
    <t xml:space="preserve">V-73-NRS</t>
  </si>
  <si>
    <t xml:space="preserve">Gebouwen (timmerman)</t>
  </si>
  <si>
    <t xml:space="preserve">Arie v Dijk</t>
  </si>
  <si>
    <t xml:space="preserve">V18</t>
  </si>
  <si>
    <t xml:space="preserve">T-63-FGV</t>
  </si>
  <si>
    <t xml:space="preserve">V19</t>
  </si>
  <si>
    <t xml:space="preserve">TBK-67-P</t>
  </si>
  <si>
    <t xml:space="preserve">Divers</t>
  </si>
  <si>
    <t xml:space="preserve">V20</t>
  </si>
  <si>
    <t xml:space="preserve">TDT-42-X</t>
  </si>
  <si>
    <t xml:space="preserve">V21</t>
  </si>
  <si>
    <t xml:space="preserve">T-80-GGN</t>
  </si>
  <si>
    <t xml:space="preserve">V24</t>
  </si>
  <si>
    <t xml:space="preserve">geen</t>
  </si>
  <si>
    <t xml:space="preserve">Gemeentewerf</t>
  </si>
  <si>
    <t xml:space="preserve">V25</t>
  </si>
  <si>
    <t xml:space="preserve">V26</t>
  </si>
  <si>
    <t xml:space="preserve">RG-730-S</t>
  </si>
  <si>
    <t xml:space="preserve">Algemeen (dienstauto)</t>
  </si>
  <si>
    <t xml:space="preserve">Dienstauto</t>
  </si>
  <si>
    <t xml:space="preserve">V27</t>
  </si>
  <si>
    <t xml:space="preserve">PX-814-X</t>
  </si>
  <si>
    <t xml:space="preserve">Handhaving</t>
  </si>
  <si>
    <t xml:space="preserve">V28</t>
  </si>
  <si>
    <t xml:space="preserve">KGN-02-Z</t>
  </si>
  <si>
    <t xml:space="preserve">Veiligheid</t>
  </si>
  <si>
    <t xml:space="preserve">BOA</t>
  </si>
  <si>
    <t xml:space="preserve">V29</t>
  </si>
  <si>
    <t xml:space="preserve">X-385-DH</t>
  </si>
  <si>
    <t xml:space="preserve">Totaal</t>
  </si>
  <si>
    <t xml:space="preserve">Toelichting</t>
  </si>
  <si>
    <t xml:space="preserve">Koop: kolom I = werkelijk betaald. Lease-koop: kolom J en L t/m N, kolom I blijft leeg.</t>
  </si>
  <si>
    <t xml:space="preserve">Uitgaven vanaf 2027 staan op het gemiddelde; overschrijven met de werkelijke uitgave zodra bekend.</t>
  </si>
  <si>
    <t xml:space="preserve">Nieuw V-nummer: typ direct onder de tabel. Bij vervanging: regel eerst kopiëren naar 'Buiten gebruik'.</t>
  </si>
  <si>
    <t xml:space="preserve">Vervangingsinvesteringen</t>
  </si>
  <si>
    <t xml:space="preserve">Standaardbedragen lease-koop</t>
  </si>
  <si>
    <t xml:space="preserve">Aanbetaling</t>
  </si>
  <si>
    <t xml:space="preserve">Belettering</t>
  </si>
  <si>
    <t xml:space="preserve">Opbouw</t>
  </si>
  <si>
    <t xml:space="preserve">Slotbetaling</t>
  </si>
  <si>
    <t xml:space="preserve">Slotbetaling na ... jaar</t>
  </si>
  <si>
    <t xml:space="preserve">Levensduur (jaar)</t>
  </si>
  <si>
    <t xml:space="preserve">Afschrijftermijn (jaar)</t>
  </si>
  <si>
    <t xml:space="preserve">Jaarlease (info)</t>
  </si>
  <si>
    <t xml:space="preserve">Uitgaven per jaar</t>
  </si>
  <si>
    <t xml:space="preserve">Regime</t>
  </si>
  <si>
    <t xml:space="preserve">Einde levensduur</t>
  </si>
  <si>
    <t xml:space="preserve">Afschrijftermijn</t>
  </si>
  <si>
    <t xml:space="preserve">Activanummer</t>
  </si>
  <si>
    <t xml:space="preserve">Te activeren</t>
  </si>
  <si>
    <t xml:space="preserve">Jaar activering</t>
  </si>
  <si>
    <t xml:space="preserve">Opmerking</t>
  </si>
  <si>
    <t xml:space="preserve">Uitgesteld naar 2028.</t>
  </si>
  <si>
    <t xml:space="preserve">Doorschuiven</t>
  </si>
  <si>
    <t xml:space="preserve">Geen eigen aanschaf: V01 schuift in 2032 door naar V03.</t>
  </si>
  <si>
    <t xml:space="preserve">Volgorde: aanschafjaar. Geel = activanummer nog invullen. Nieuwe regel: invoegen boven de totaalregel.</t>
  </si>
  <si>
    <t xml:space="preserve">Te activeren: lease-koop = aanbetaling + belettering + opbouw + slotbetaling (standaardbedragen); koop = koopprijs (invullen).</t>
  </si>
  <si>
    <t xml:space="preserve">Uitgaven per jaar: lease-koop aanbetaling, belettering en opbouw in aanschafjaar, slotbetaling in jaar activering; koop in aanschafjaar.</t>
  </si>
  <si>
    <t xml:space="preserve">Jaarlease valt in de exploitatie en telt niet mee in de investeringen.</t>
  </si>
  <si>
    <t xml:space="preserve">Voertuigen buiten gebruik</t>
  </si>
  <si>
    <t xml:space="preserve">Jaar buiten gebruik</t>
  </si>
  <si>
    <t xml:space="preserve">VH-073-L</t>
  </si>
  <si>
    <t xml:space="preserve">V-138-DP</t>
  </si>
  <si>
    <t xml:space="preserve">VG-093-L</t>
  </si>
  <si>
    <t xml:space="preserve">PR-058-F</t>
  </si>
  <si>
    <t xml:space="preserve">V93</t>
  </si>
  <si>
    <t xml:space="preserve">58-XN-GS</t>
  </si>
  <si>
    <t xml:space="preserve">V94</t>
  </si>
  <si>
    <t xml:space="preserve">05-SZ-NF</t>
  </si>
  <si>
    <t xml:space="preserve">6971005/434335/M05SZNF</t>
  </si>
  <si>
    <t xml:space="preserve">V95</t>
  </si>
  <si>
    <t xml:space="preserve">TFN-07-R</t>
  </si>
  <si>
    <t xml:space="preserve">Straatreiniging</t>
  </si>
  <si>
    <t xml:space="preserve">6210601/434335</t>
  </si>
  <si>
    <t xml:space="preserve">V96</t>
  </si>
  <si>
    <t xml:space="preserve">VG-683-L</t>
  </si>
  <si>
    <t xml:space="preserve">V97</t>
  </si>
  <si>
    <t xml:space="preserve">VG-082-L</t>
  </si>
  <si>
    <t xml:space="preserve">V98</t>
  </si>
  <si>
    <t xml:space="preserve">VG-083-L</t>
  </si>
  <si>
    <t xml:space="preserve">V99</t>
  </si>
  <si>
    <t xml:space="preserve">VG-094-L</t>
  </si>
  <si>
    <t xml:space="preserve">6210102/434335</t>
  </si>
  <si>
    <t xml:space="preserve">Geel = jaar buiten gebruik onbekend, aanvullen.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</si>
</sst>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&quot;&quot;"/>
    <numFmt numFmtId="166" formatCode="0"/>
    <numFmt numFmtId="167" formatCode="&quot;€ &quot;#,##0;&quot;-€ &quot;#,##0;\-"/>
    <numFmt numFmtId="168" formatCode="&quot;€ &quot;#,##0;&quot;-€ &quot;#,##0;&quot;&quot;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BuitenGebruik" displayName="tblBuitenGebruik" ref="A4:G15" headerRowCount="1" totalsRowCount="0" totalsRowShown="0">
  <autoFilter ref="A4:G15"/>
  <tableColumns count="7">
    <tableColumn id="1" name="V-nummer"/>
    <tableColumn id="2" name="Kredietnr."/>
    <tableColumn id="3" name="Kenteken"/>
    <tableColumn id="4" name="Gebruiksdoel"/>
    <tableColumn id="5" name="Aanschafjaar"/>
    <tableColumn id="6" name="Jaar buiten gebruik"/>
    <tableColumn id="7" name="Activakaart"/>
  </tableColumns>
</table>
</file>

<file path=xl/tables/table2.xml><?xml version="1.0" encoding="utf-8"?>
<table xmlns="http://schemas.openxmlformats.org/spreadsheetml/2006/main" id="2" name="tblInGebruik" displayName="tblInGebruik" ref="A4:P31" headerRowCount="1" totalsRowCount="0" totalsRowShown="0">
  <autoFilter ref="A4:P31"/>
  <tableColumns count="16">
    <tableColumn id="1" name="V-nummer"/>
    <tableColumn id="2" name="Kredietnr."/>
    <tableColumn id="3" name="Kenteken"/>
    <tableColumn id="4" name="Gebruiksdoel"/>
    <tableColumn id="5" name="Aanschafwijze"/>
    <tableColumn id="6" name="Berijder"/>
    <tableColumn id="7" name="Aanschafjaar"/>
    <tableColumn id="8" name="Levensduur"/>
    <tableColumn id="9" name="Aanschafkosten (werkelijk)"/>
    <tableColumn id="10" name="Te activeren in jaar"/>
    <tableColumn id="11" name="Activakaart"/>
    <tableColumn id="12" name="Aanbetaling (raming)"/>
    <tableColumn id="13" name="Bijkomende kosten (raming)"/>
    <tableColumn id="14" name="Slotbetaling (raming)"/>
    <tableColumn id="15" name="Exploitatienr."/>
    <tableColumn id="16" name="Leasesom 1 jaar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4" min="12" style="0" width="14"/>
    <col collapsed="false" customWidth="true" hidden="false" outlineLevel="0" max="15" min="15" style="0" width="15"/>
    <col collapsed="false" customWidth="true" hidden="false" outlineLevel="0" max="16" min="16" style="0" width="12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L3" s="2" t="s">
        <v>1</v>
      </c>
      <c r="M3" s="2"/>
      <c r="N3" s="2"/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15" hidden="false" customHeight="false" outlineLevel="0" collapsed="false">
      <c r="A5" s="4" t="s">
        <v>18</v>
      </c>
      <c r="B5" s="5" t="n">
        <v>7205037</v>
      </c>
      <c r="C5" s="5" t="s">
        <v>19</v>
      </c>
      <c r="D5" s="4" t="s">
        <v>20</v>
      </c>
      <c r="E5" s="5" t="s">
        <v>21</v>
      </c>
      <c r="F5" s="4" t="s">
        <v>22</v>
      </c>
      <c r="G5" s="6" t="n">
        <v>2024</v>
      </c>
      <c r="H5" s="7" t="n">
        <v>8</v>
      </c>
      <c r="I5" s="8" t="n">
        <v>248960</v>
      </c>
      <c r="J5" s="6"/>
      <c r="K5" s="5" t="n">
        <v>119</v>
      </c>
      <c r="L5" s="8"/>
      <c r="M5" s="8"/>
      <c r="N5" s="8"/>
      <c r="O5" s="5"/>
      <c r="P5" s="8"/>
    </row>
    <row r="6" customFormat="false" ht="15" hidden="false" customHeight="false" outlineLevel="0" collapsed="false">
      <c r="A6" s="4" t="s">
        <v>23</v>
      </c>
      <c r="B6" s="5" t="n">
        <v>7205034</v>
      </c>
      <c r="C6" s="5" t="s">
        <v>24</v>
      </c>
      <c r="D6" s="4" t="s">
        <v>25</v>
      </c>
      <c r="E6" s="5" t="s">
        <v>21</v>
      </c>
      <c r="F6" s="4" t="s">
        <v>26</v>
      </c>
      <c r="G6" s="6" t="n">
        <v>2023</v>
      </c>
      <c r="H6" s="7" t="n">
        <v>12</v>
      </c>
      <c r="I6" s="8" t="n">
        <v>358180</v>
      </c>
      <c r="J6" s="6"/>
      <c r="K6" s="5" t="n">
        <v>625</v>
      </c>
      <c r="L6" s="8"/>
      <c r="M6" s="8"/>
      <c r="N6" s="8"/>
      <c r="O6" s="5"/>
      <c r="P6" s="8"/>
    </row>
    <row r="7" customFormat="false" ht="15" hidden="false" customHeight="false" outlineLevel="0" collapsed="false">
      <c r="A7" s="4" t="s">
        <v>27</v>
      </c>
      <c r="B7" s="5"/>
      <c r="C7" s="5" t="s">
        <v>28</v>
      </c>
      <c r="D7" s="4" t="s">
        <v>29</v>
      </c>
      <c r="E7" s="5" t="s">
        <v>21</v>
      </c>
      <c r="F7" s="4" t="s">
        <v>30</v>
      </c>
      <c r="G7" s="6" t="n">
        <v>2012</v>
      </c>
      <c r="H7" s="7"/>
      <c r="I7" s="8"/>
      <c r="J7" s="6"/>
      <c r="K7" s="5"/>
      <c r="L7" s="8"/>
      <c r="M7" s="8"/>
      <c r="N7" s="8"/>
      <c r="O7" s="5"/>
      <c r="P7" s="8"/>
    </row>
    <row r="8" customFormat="false" ht="15" hidden="false" customHeight="false" outlineLevel="0" collapsed="false">
      <c r="A8" s="4" t="s">
        <v>31</v>
      </c>
      <c r="B8" s="5" t="n">
        <v>7205035</v>
      </c>
      <c r="C8" s="5" t="s">
        <v>32</v>
      </c>
      <c r="D8" s="4" t="s">
        <v>33</v>
      </c>
      <c r="E8" s="5" t="s">
        <v>21</v>
      </c>
      <c r="F8" s="4" t="s">
        <v>34</v>
      </c>
      <c r="G8" s="6" t="n">
        <v>2024</v>
      </c>
      <c r="H8" s="7" t="n">
        <v>8</v>
      </c>
      <c r="I8" s="8" t="n">
        <v>72896</v>
      </c>
      <c r="J8" s="6"/>
      <c r="K8" s="5" t="n">
        <v>632</v>
      </c>
      <c r="L8" s="8"/>
      <c r="M8" s="8"/>
      <c r="N8" s="8"/>
      <c r="O8" s="5"/>
      <c r="P8" s="8"/>
    </row>
    <row r="9" customFormat="false" ht="15" hidden="false" customHeight="false" outlineLevel="0" collapsed="false">
      <c r="A9" s="4" t="s">
        <v>35</v>
      </c>
      <c r="B9" s="5" t="n">
        <v>7205053</v>
      </c>
      <c r="C9" s="5" t="s">
        <v>36</v>
      </c>
      <c r="D9" s="4" t="s">
        <v>37</v>
      </c>
      <c r="E9" s="5" t="s">
        <v>21</v>
      </c>
      <c r="F9" s="4" t="s">
        <v>38</v>
      </c>
      <c r="G9" s="6" t="n">
        <v>2021</v>
      </c>
      <c r="H9" s="7" t="n">
        <v>8</v>
      </c>
      <c r="I9" s="8" t="n">
        <v>65000</v>
      </c>
      <c r="J9" s="6"/>
      <c r="K9" s="5"/>
      <c r="L9" s="8"/>
      <c r="M9" s="8"/>
      <c r="N9" s="8"/>
      <c r="O9" s="5"/>
      <c r="P9" s="8"/>
    </row>
    <row r="10" customFormat="false" ht="15" hidden="false" customHeight="false" outlineLevel="0" collapsed="false">
      <c r="A10" s="4" t="s">
        <v>39</v>
      </c>
      <c r="B10" s="5" t="n">
        <v>7205045</v>
      </c>
      <c r="C10" s="5" t="s">
        <v>40</v>
      </c>
      <c r="D10" s="4" t="s">
        <v>41</v>
      </c>
      <c r="E10" s="5" t="s">
        <v>1</v>
      </c>
      <c r="F10" s="4" t="s">
        <v>42</v>
      </c>
      <c r="G10" s="6" t="n">
        <v>2026</v>
      </c>
      <c r="H10" s="7" t="n">
        <v>8</v>
      </c>
      <c r="I10" s="8"/>
      <c r="J10" s="6" t="n">
        <v>2028</v>
      </c>
      <c r="K10" s="5"/>
      <c r="L10" s="8" t="n">
        <v>11000</v>
      </c>
      <c r="M10" s="8" t="n">
        <v>3420</v>
      </c>
      <c r="N10" s="8" t="n">
        <f aca="false">p_Slot</f>
        <v>35000</v>
      </c>
      <c r="O10" s="5" t="n">
        <v>635901</v>
      </c>
      <c r="P10" s="8" t="n">
        <v>11786.52</v>
      </c>
    </row>
    <row r="11" customFormat="false" ht="15" hidden="false" customHeight="false" outlineLevel="0" collapsed="false">
      <c r="A11" s="4" t="s">
        <v>43</v>
      </c>
      <c r="B11" s="5" t="n">
        <v>7205051</v>
      </c>
      <c r="C11" s="5" t="s">
        <v>44</v>
      </c>
      <c r="D11" s="4" t="s">
        <v>45</v>
      </c>
      <c r="E11" s="5" t="s">
        <v>21</v>
      </c>
      <c r="F11" s="4" t="s">
        <v>46</v>
      </c>
      <c r="G11" s="6" t="n">
        <v>2013</v>
      </c>
      <c r="H11" s="7" t="n">
        <v>8</v>
      </c>
      <c r="I11" s="8" t="n">
        <v>65000</v>
      </c>
      <c r="J11" s="6"/>
      <c r="K11" s="5" t="n">
        <v>803</v>
      </c>
      <c r="L11" s="8"/>
      <c r="M11" s="8"/>
      <c r="N11" s="8"/>
      <c r="O11" s="5"/>
      <c r="P11" s="8"/>
    </row>
    <row r="12" customFormat="false" ht="15" hidden="false" customHeight="false" outlineLevel="0" collapsed="false">
      <c r="A12" s="4" t="s">
        <v>47</v>
      </c>
      <c r="B12" s="5" t="n">
        <v>7205048</v>
      </c>
      <c r="C12" s="5" t="s">
        <v>48</v>
      </c>
      <c r="D12" s="4" t="s">
        <v>33</v>
      </c>
      <c r="E12" s="5" t="s">
        <v>1</v>
      </c>
      <c r="F12" s="4" t="s">
        <v>49</v>
      </c>
      <c r="G12" s="6" t="n">
        <v>2026</v>
      </c>
      <c r="H12" s="7" t="n">
        <v>8</v>
      </c>
      <c r="I12" s="8"/>
      <c r="J12" s="6" t="n">
        <v>2028</v>
      </c>
      <c r="K12" s="5" t="n">
        <v>648</v>
      </c>
      <c r="L12" s="8" t="n">
        <v>11000</v>
      </c>
      <c r="M12" s="8" t="n">
        <v>3420</v>
      </c>
      <c r="N12" s="8" t="n">
        <f aca="false">p_Slot</f>
        <v>35000</v>
      </c>
      <c r="O12" s="5" t="n">
        <v>617901</v>
      </c>
      <c r="P12" s="8" t="n">
        <v>11786.52</v>
      </c>
    </row>
    <row r="13" customFormat="false" ht="15" hidden="false" customHeight="false" outlineLevel="0" collapsed="false">
      <c r="A13" s="4" t="s">
        <v>50</v>
      </c>
      <c r="B13" s="5" t="n">
        <v>7205039</v>
      </c>
      <c r="C13" s="5" t="s">
        <v>51</v>
      </c>
      <c r="D13" s="4" t="s">
        <v>37</v>
      </c>
      <c r="E13" s="5" t="s">
        <v>21</v>
      </c>
      <c r="F13" s="4" t="s">
        <v>52</v>
      </c>
      <c r="G13" s="6" t="n">
        <v>2024</v>
      </c>
      <c r="H13" s="7" t="n">
        <v>8</v>
      </c>
      <c r="I13" s="8" t="n">
        <v>38664</v>
      </c>
      <c r="J13" s="6"/>
      <c r="K13" s="5" t="n">
        <v>472</v>
      </c>
      <c r="L13" s="8"/>
      <c r="M13" s="8"/>
      <c r="N13" s="8"/>
      <c r="O13" s="5"/>
      <c r="P13" s="8"/>
    </row>
    <row r="14" customFormat="false" ht="15" hidden="false" customHeight="false" outlineLevel="0" collapsed="false">
      <c r="A14" s="4" t="s">
        <v>53</v>
      </c>
      <c r="B14" s="5" t="n">
        <v>7205043</v>
      </c>
      <c r="C14" s="5" t="s">
        <v>54</v>
      </c>
      <c r="D14" s="4" t="s">
        <v>55</v>
      </c>
      <c r="E14" s="5" t="s">
        <v>21</v>
      </c>
      <c r="F14" s="4" t="s">
        <v>55</v>
      </c>
      <c r="G14" s="6" t="n">
        <v>2025</v>
      </c>
      <c r="H14" s="7" t="n">
        <v>8</v>
      </c>
      <c r="I14" s="8" t="n">
        <v>30093</v>
      </c>
      <c r="J14" s="6"/>
      <c r="K14" s="5" t="n">
        <v>461</v>
      </c>
      <c r="L14" s="8"/>
      <c r="M14" s="8"/>
      <c r="N14" s="8"/>
      <c r="O14" s="5"/>
      <c r="P14" s="8"/>
    </row>
    <row r="15" customFormat="false" ht="15" hidden="false" customHeight="false" outlineLevel="0" collapsed="false">
      <c r="A15" s="4" t="s">
        <v>56</v>
      </c>
      <c r="B15" s="5" t="n">
        <v>7205046</v>
      </c>
      <c r="C15" s="5"/>
      <c r="D15" s="4" t="s">
        <v>41</v>
      </c>
      <c r="E15" s="5" t="s">
        <v>1</v>
      </c>
      <c r="F15" s="4" t="s">
        <v>57</v>
      </c>
      <c r="G15" s="6" t="n">
        <v>2026</v>
      </c>
      <c r="H15" s="7" t="n">
        <v>8</v>
      </c>
      <c r="I15" s="8"/>
      <c r="J15" s="6" t="n">
        <v>2028</v>
      </c>
      <c r="K15" s="5"/>
      <c r="L15" s="8" t="n">
        <v>11000</v>
      </c>
      <c r="M15" s="8" t="n">
        <v>0</v>
      </c>
      <c r="N15" s="8" t="n">
        <f aca="false">p_Slot</f>
        <v>35000</v>
      </c>
      <c r="O15" s="5" t="n">
        <v>635901</v>
      </c>
      <c r="P15" s="8" t="n">
        <v>13448.5289256198</v>
      </c>
    </row>
    <row r="16" customFormat="false" ht="15" hidden="false" customHeight="false" outlineLevel="0" collapsed="false">
      <c r="A16" s="4" t="s">
        <v>58</v>
      </c>
      <c r="B16" s="5" t="n">
        <v>7205044</v>
      </c>
      <c r="C16" s="5" t="s">
        <v>59</v>
      </c>
      <c r="D16" s="4" t="s">
        <v>60</v>
      </c>
      <c r="E16" s="5" t="s">
        <v>21</v>
      </c>
      <c r="F16" s="4" t="s">
        <v>61</v>
      </c>
      <c r="G16" s="6" t="n">
        <v>2024</v>
      </c>
      <c r="H16" s="7" t="n">
        <v>8</v>
      </c>
      <c r="I16" s="8" t="n">
        <v>65770</v>
      </c>
      <c r="J16" s="6"/>
      <c r="K16" s="5" t="n">
        <v>465</v>
      </c>
      <c r="L16" s="8"/>
      <c r="M16" s="8"/>
      <c r="N16" s="8"/>
      <c r="O16" s="5"/>
      <c r="P16" s="8"/>
    </row>
    <row r="17" customFormat="false" ht="15" hidden="false" customHeight="false" outlineLevel="0" collapsed="false">
      <c r="A17" s="4" t="s">
        <v>62</v>
      </c>
      <c r="B17" s="5" t="n">
        <v>7205052</v>
      </c>
      <c r="C17" s="5" t="s">
        <v>63</v>
      </c>
      <c r="D17" s="4" t="s">
        <v>45</v>
      </c>
      <c r="E17" s="5" t="s">
        <v>21</v>
      </c>
      <c r="F17" s="4" t="s">
        <v>64</v>
      </c>
      <c r="G17" s="6" t="n">
        <v>2017</v>
      </c>
      <c r="H17" s="7" t="n">
        <v>8</v>
      </c>
      <c r="I17" s="8" t="n">
        <v>65000</v>
      </c>
      <c r="J17" s="6"/>
      <c r="K17" s="5" t="n">
        <v>520</v>
      </c>
      <c r="L17" s="8"/>
      <c r="M17" s="8"/>
      <c r="N17" s="8"/>
      <c r="O17" s="5"/>
      <c r="P17" s="8"/>
    </row>
    <row r="18" customFormat="false" ht="15" hidden="false" customHeight="false" outlineLevel="0" collapsed="false">
      <c r="A18" s="4" t="s">
        <v>65</v>
      </c>
      <c r="B18" s="5" t="n">
        <v>7205058</v>
      </c>
      <c r="C18" s="5" t="s">
        <v>66</v>
      </c>
      <c r="D18" s="4" t="s">
        <v>67</v>
      </c>
      <c r="E18" s="5" t="s">
        <v>21</v>
      </c>
      <c r="F18" s="4" t="s">
        <v>68</v>
      </c>
      <c r="G18" s="6" t="n">
        <v>2018</v>
      </c>
      <c r="H18" s="7" t="n">
        <v>8</v>
      </c>
      <c r="I18" s="8" t="n">
        <v>45000</v>
      </c>
      <c r="J18" s="6"/>
      <c r="K18" s="5"/>
      <c r="L18" s="8"/>
      <c r="M18" s="8"/>
      <c r="N18" s="8"/>
      <c r="O18" s="5"/>
      <c r="P18" s="8"/>
    </row>
    <row r="19" customFormat="false" ht="15" hidden="false" customHeight="false" outlineLevel="0" collapsed="false">
      <c r="A19" s="4" t="s">
        <v>69</v>
      </c>
      <c r="B19" s="5" t="n">
        <v>7205033</v>
      </c>
      <c r="C19" s="5"/>
      <c r="D19" s="4" t="s">
        <v>70</v>
      </c>
      <c r="E19" s="5" t="s">
        <v>1</v>
      </c>
      <c r="F19" s="4" t="s">
        <v>71</v>
      </c>
      <c r="G19" s="6" t="n">
        <v>2026</v>
      </c>
      <c r="H19" s="7" t="n">
        <v>8</v>
      </c>
      <c r="I19" s="8"/>
      <c r="J19" s="6" t="n">
        <v>2028</v>
      </c>
      <c r="K19" s="5" t="n">
        <v>463</v>
      </c>
      <c r="L19" s="8" t="n">
        <v>11000</v>
      </c>
      <c r="M19" s="8" t="n">
        <v>0</v>
      </c>
      <c r="N19" s="8" t="n">
        <f aca="false">p_Slot</f>
        <v>35000</v>
      </c>
      <c r="O19" s="5" t="n">
        <v>604901</v>
      </c>
      <c r="P19" s="8" t="n">
        <v>11641.6859504132</v>
      </c>
    </row>
    <row r="20" customFormat="false" ht="15" hidden="false" customHeight="false" outlineLevel="0" collapsed="false">
      <c r="A20" s="4" t="s">
        <v>72</v>
      </c>
      <c r="B20" s="5" t="n">
        <v>7205032</v>
      </c>
      <c r="C20" s="5"/>
      <c r="D20" s="4" t="s">
        <v>73</v>
      </c>
      <c r="E20" s="5" t="s">
        <v>1</v>
      </c>
      <c r="F20" s="4" t="s">
        <v>74</v>
      </c>
      <c r="G20" s="6" t="n">
        <v>2026</v>
      </c>
      <c r="H20" s="7" t="n">
        <v>8</v>
      </c>
      <c r="I20" s="8"/>
      <c r="J20" s="6" t="n">
        <v>2028</v>
      </c>
      <c r="K20" s="5" t="n">
        <v>776</v>
      </c>
      <c r="L20" s="8" t="n">
        <v>13310</v>
      </c>
      <c r="M20" s="8" t="n">
        <v>0</v>
      </c>
      <c r="N20" s="8" t="n">
        <f aca="false">p_Slot</f>
        <v>35000</v>
      </c>
      <c r="O20" s="5" t="n">
        <v>630901</v>
      </c>
      <c r="P20" s="8" t="n">
        <v>14085.84</v>
      </c>
    </row>
    <row r="21" customFormat="false" ht="15" hidden="false" customHeight="false" outlineLevel="0" collapsed="false">
      <c r="A21" s="4" t="s">
        <v>75</v>
      </c>
      <c r="B21" s="5" t="n">
        <v>7205047</v>
      </c>
      <c r="C21" s="5" t="s">
        <v>76</v>
      </c>
      <c r="D21" s="4" t="s">
        <v>77</v>
      </c>
      <c r="E21" s="5" t="s">
        <v>1</v>
      </c>
      <c r="F21" s="4" t="s">
        <v>78</v>
      </c>
      <c r="G21" s="6" t="n">
        <v>2026</v>
      </c>
      <c r="H21" s="7" t="n">
        <v>8</v>
      </c>
      <c r="I21" s="8"/>
      <c r="J21" s="6" t="n">
        <v>2028</v>
      </c>
      <c r="K21" s="5" t="n">
        <v>647</v>
      </c>
      <c r="L21" s="8" t="n">
        <v>11000</v>
      </c>
      <c r="M21" s="8" t="n">
        <v>3420</v>
      </c>
      <c r="N21" s="8" t="n">
        <f aca="false">p_Slot</f>
        <v>35000</v>
      </c>
      <c r="O21" s="5" t="n">
        <v>604901</v>
      </c>
      <c r="P21" s="8" t="n">
        <v>11786.52</v>
      </c>
    </row>
    <row r="22" customFormat="false" ht="15" hidden="false" customHeight="false" outlineLevel="0" collapsed="false">
      <c r="A22" s="4" t="s">
        <v>79</v>
      </c>
      <c r="B22" s="5" t="n">
        <v>7205027</v>
      </c>
      <c r="C22" s="5" t="s">
        <v>80</v>
      </c>
      <c r="D22" s="4" t="s">
        <v>73</v>
      </c>
      <c r="E22" s="5" t="s">
        <v>21</v>
      </c>
      <c r="F22" s="4"/>
      <c r="G22" s="6" t="n">
        <v>2023</v>
      </c>
      <c r="H22" s="7" t="n">
        <v>15</v>
      </c>
      <c r="I22" s="8" t="n">
        <v>121968</v>
      </c>
      <c r="J22" s="6"/>
      <c r="K22" s="5" t="n">
        <v>458</v>
      </c>
      <c r="L22" s="8"/>
      <c r="M22" s="8"/>
      <c r="N22" s="8"/>
      <c r="O22" s="5"/>
      <c r="P22" s="8"/>
    </row>
    <row r="23" customFormat="false" ht="15" hidden="false" customHeight="false" outlineLevel="0" collapsed="false">
      <c r="A23" s="4" t="s">
        <v>81</v>
      </c>
      <c r="B23" s="5" t="n">
        <v>7205057</v>
      </c>
      <c r="C23" s="5" t="s">
        <v>82</v>
      </c>
      <c r="D23" s="4" t="s">
        <v>73</v>
      </c>
      <c r="E23" s="5" t="s">
        <v>21</v>
      </c>
      <c r="F23" s="4" t="s">
        <v>83</v>
      </c>
      <c r="G23" s="6" t="n">
        <v>2012</v>
      </c>
      <c r="H23" s="7" t="n">
        <v>15</v>
      </c>
      <c r="I23" s="8" t="n">
        <v>80000</v>
      </c>
      <c r="J23" s="6"/>
      <c r="K23" s="5" t="n">
        <v>823</v>
      </c>
      <c r="L23" s="8"/>
      <c r="M23" s="8"/>
      <c r="N23" s="8"/>
      <c r="O23" s="5"/>
      <c r="P23" s="8"/>
    </row>
    <row r="24" customFormat="false" ht="15" hidden="false" customHeight="false" outlineLevel="0" collapsed="false">
      <c r="A24" s="4" t="s">
        <v>84</v>
      </c>
      <c r="B24" s="5"/>
      <c r="C24" s="5" t="s">
        <v>85</v>
      </c>
      <c r="D24" s="4" t="s">
        <v>41</v>
      </c>
      <c r="E24" s="5" t="s">
        <v>21</v>
      </c>
      <c r="F24" s="4" t="s">
        <v>83</v>
      </c>
      <c r="G24" s="6" t="n">
        <v>2009</v>
      </c>
      <c r="H24" s="7" t="n">
        <v>20</v>
      </c>
      <c r="I24" s="8" t="n">
        <v>100000</v>
      </c>
      <c r="J24" s="6"/>
      <c r="K24" s="5"/>
      <c r="L24" s="8"/>
      <c r="M24" s="8"/>
      <c r="N24" s="8"/>
      <c r="O24" s="5"/>
      <c r="P24" s="8"/>
    </row>
    <row r="25" customFormat="false" ht="15" hidden="false" customHeight="false" outlineLevel="0" collapsed="false">
      <c r="A25" s="4" t="s">
        <v>86</v>
      </c>
      <c r="B25" s="5" t="n">
        <v>7205041</v>
      </c>
      <c r="C25" s="5" t="s">
        <v>87</v>
      </c>
      <c r="D25" s="4" t="s">
        <v>73</v>
      </c>
      <c r="E25" s="5" t="s">
        <v>21</v>
      </c>
      <c r="F25" s="4" t="s">
        <v>83</v>
      </c>
      <c r="G25" s="6" t="n">
        <v>2024</v>
      </c>
      <c r="H25" s="7" t="n">
        <v>10</v>
      </c>
      <c r="I25" s="8" t="n">
        <v>51100</v>
      </c>
      <c r="J25" s="6"/>
      <c r="K25" s="5" t="n">
        <v>518</v>
      </c>
      <c r="L25" s="8"/>
      <c r="M25" s="8"/>
      <c r="N25" s="8"/>
      <c r="O25" s="5"/>
      <c r="P25" s="8"/>
    </row>
    <row r="26" customFormat="false" ht="15" hidden="false" customHeight="false" outlineLevel="0" collapsed="false">
      <c r="A26" s="4" t="s">
        <v>88</v>
      </c>
      <c r="B26" s="5"/>
      <c r="C26" s="5" t="s">
        <v>89</v>
      </c>
      <c r="D26" s="4" t="s">
        <v>90</v>
      </c>
      <c r="E26" s="5" t="s">
        <v>21</v>
      </c>
      <c r="F26" s="4" t="s">
        <v>83</v>
      </c>
      <c r="G26" s="6" t="n">
        <v>2023</v>
      </c>
      <c r="H26" s="7" t="n">
        <v>10</v>
      </c>
      <c r="I26" s="8" t="n">
        <v>19000</v>
      </c>
      <c r="J26" s="6"/>
      <c r="K26" s="5"/>
      <c r="L26" s="8"/>
      <c r="M26" s="8"/>
      <c r="N26" s="8"/>
      <c r="O26" s="5"/>
      <c r="P26" s="8"/>
    </row>
    <row r="27" customFormat="false" ht="15" hidden="false" customHeight="false" outlineLevel="0" collapsed="false">
      <c r="A27" s="4" t="s">
        <v>91</v>
      </c>
      <c r="B27" s="5" t="n">
        <v>7205056</v>
      </c>
      <c r="C27" s="5" t="s">
        <v>89</v>
      </c>
      <c r="D27" s="4" t="s">
        <v>90</v>
      </c>
      <c r="E27" s="5" t="s">
        <v>21</v>
      </c>
      <c r="F27" s="4" t="s">
        <v>83</v>
      </c>
      <c r="G27" s="6" t="n">
        <v>2007</v>
      </c>
      <c r="H27" s="7" t="n">
        <v>8</v>
      </c>
      <c r="I27" s="8" t="n">
        <v>50000</v>
      </c>
      <c r="J27" s="6"/>
      <c r="K27" s="5"/>
      <c r="L27" s="8"/>
      <c r="M27" s="8"/>
      <c r="N27" s="8"/>
      <c r="O27" s="5"/>
      <c r="P27" s="8"/>
    </row>
    <row r="28" customFormat="false" ht="15" hidden="false" customHeight="false" outlineLevel="0" collapsed="false">
      <c r="A28" s="4" t="s">
        <v>92</v>
      </c>
      <c r="B28" s="5" t="n">
        <v>7205054</v>
      </c>
      <c r="C28" s="5" t="s">
        <v>93</v>
      </c>
      <c r="D28" s="4" t="s">
        <v>94</v>
      </c>
      <c r="E28" s="5" t="s">
        <v>21</v>
      </c>
      <c r="F28" s="4" t="s">
        <v>95</v>
      </c>
      <c r="G28" s="6" t="n">
        <v>2017</v>
      </c>
      <c r="H28" s="7" t="n">
        <v>8</v>
      </c>
      <c r="I28" s="8" t="n">
        <v>45000</v>
      </c>
      <c r="J28" s="6"/>
      <c r="K28" s="5"/>
      <c r="L28" s="8"/>
      <c r="M28" s="8"/>
      <c r="N28" s="8"/>
      <c r="O28" s="5"/>
      <c r="P28" s="8"/>
    </row>
    <row r="29" customFormat="false" ht="15" hidden="false" customHeight="false" outlineLevel="0" collapsed="false">
      <c r="A29" s="4" t="s">
        <v>96</v>
      </c>
      <c r="B29" s="5" t="n">
        <v>7205055</v>
      </c>
      <c r="C29" s="5" t="s">
        <v>97</v>
      </c>
      <c r="D29" s="4" t="s">
        <v>98</v>
      </c>
      <c r="E29" s="5" t="s">
        <v>21</v>
      </c>
      <c r="F29" s="4" t="s">
        <v>95</v>
      </c>
      <c r="G29" s="6" t="n">
        <v>2017</v>
      </c>
      <c r="H29" s="7" t="n">
        <v>8</v>
      </c>
      <c r="I29" s="8" t="n">
        <v>45000</v>
      </c>
      <c r="J29" s="6"/>
      <c r="K29" s="5"/>
      <c r="L29" s="8"/>
      <c r="M29" s="8"/>
      <c r="N29" s="8"/>
      <c r="O29" s="5"/>
      <c r="P29" s="8"/>
    </row>
    <row r="30" customFormat="false" ht="15" hidden="false" customHeight="false" outlineLevel="0" collapsed="false">
      <c r="A30" s="4" t="s">
        <v>99</v>
      </c>
      <c r="B30" s="5"/>
      <c r="C30" s="5" t="s">
        <v>100</v>
      </c>
      <c r="D30" s="4" t="s">
        <v>101</v>
      </c>
      <c r="E30" s="5" t="s">
        <v>1</v>
      </c>
      <c r="F30" s="4" t="s">
        <v>102</v>
      </c>
      <c r="G30" s="6" t="n">
        <v>2026</v>
      </c>
      <c r="H30" s="7" t="n">
        <v>8</v>
      </c>
      <c r="I30" s="8"/>
      <c r="J30" s="6" t="n">
        <v>2028</v>
      </c>
      <c r="K30" s="5"/>
      <c r="L30" s="8" t="n">
        <f aca="false">p_Aanbet</f>
        <v>10000</v>
      </c>
      <c r="M30" s="8" t="n">
        <f aca="false">p_Belet+p_Opbouw</f>
        <v>12000</v>
      </c>
      <c r="N30" s="8" t="n">
        <f aca="false">p_Slot</f>
        <v>35000</v>
      </c>
      <c r="O30" s="5"/>
      <c r="P30" s="8"/>
    </row>
    <row r="31" customFormat="false" ht="15" hidden="false" customHeight="false" outlineLevel="0" collapsed="false">
      <c r="A31" s="4" t="s">
        <v>103</v>
      </c>
      <c r="B31" s="5" t="n">
        <v>7205036</v>
      </c>
      <c r="C31" s="5" t="s">
        <v>104</v>
      </c>
      <c r="D31" s="4" t="s">
        <v>98</v>
      </c>
      <c r="E31" s="5" t="s">
        <v>21</v>
      </c>
      <c r="F31" s="4" t="s">
        <v>95</v>
      </c>
      <c r="G31" s="6" t="n">
        <v>2023</v>
      </c>
      <c r="H31" s="7" t="n">
        <v>8</v>
      </c>
      <c r="I31" s="8" t="n">
        <v>41530</v>
      </c>
      <c r="J31" s="6"/>
      <c r="K31" s="5" t="n">
        <v>631</v>
      </c>
      <c r="L31" s="8"/>
      <c r="M31" s="8"/>
      <c r="N31" s="8"/>
      <c r="O31" s="5"/>
      <c r="P31" s="8"/>
    </row>
    <row r="33" customFormat="false" ht="15" hidden="false" customHeight="false" outlineLevel="0" collapsed="false">
      <c r="H33" s="9" t="s">
        <v>105</v>
      </c>
      <c r="I33" s="10" t="n">
        <f aca="false">SUBTOTAL(109,I5:I31)</f>
        <v>1608161</v>
      </c>
      <c r="L33" s="10" t="n">
        <f aca="false">SUBTOTAL(109,L5:L31)</f>
        <v>78310</v>
      </c>
      <c r="M33" s="10" t="n">
        <f aca="false">SUBTOTAL(109,M5:M31)</f>
        <v>22260</v>
      </c>
      <c r="N33" s="10" t="n">
        <f aca="false">SUBTOTAL(109,N5:N31)</f>
        <v>245000</v>
      </c>
    </row>
    <row r="35" customFormat="false" ht="15" hidden="false" customHeight="false" outlineLevel="0" collapsed="false">
      <c r="A35" s="9" t="s">
        <v>106</v>
      </c>
    </row>
    <row r="36" customFormat="false" ht="15" hidden="false" customHeight="false" outlineLevel="0" collapsed="false">
      <c r="A36" s="11" t="s">
        <v>107</v>
      </c>
    </row>
    <row r="37" customFormat="false" ht="15" hidden="false" customHeight="false" outlineLevel="0" collapsed="false">
      <c r="A37" s="11" t="s">
        <v>108</v>
      </c>
    </row>
    <row r="38" customFormat="false" ht="15" hidden="false" customHeight="false" outlineLevel="0" collapsed="false">
      <c r="A38" s="11" t="s">
        <v>109</v>
      </c>
    </row>
  </sheetData>
  <mergeCells count="1">
    <mergeCell ref="L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4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9" min="5" style="0" width="13"/>
    <col collapsed="false" customWidth="true" hidden="false" outlineLevel="0" max="10" min="10" style="0" width="18"/>
    <col collapsed="false" customWidth="true" hidden="false" outlineLevel="0" max="11" min="11" style="0" width="15"/>
    <col collapsed="false" customWidth="true" hidden="false" outlineLevel="0" max="12" min="12" style="0" width="14"/>
    <col collapsed="false" customWidth="true" hidden="false" outlineLevel="0" max="14" min="13" style="0" width="12"/>
    <col collapsed="false" customWidth="true" hidden="false" outlineLevel="0" max="15" min="15" style="0" width="15"/>
    <col collapsed="false" customWidth="true" hidden="false" outlineLevel="0" max="16" min="16" style="0" width="50"/>
  </cols>
  <sheetData>
    <row r="1" customFormat="false" ht="17.35" hidden="false" customHeight="false" outlineLevel="0" collapsed="false">
      <c r="A1" s="1" t="s">
        <v>110</v>
      </c>
    </row>
    <row r="3" customFormat="false" ht="15" hidden="false" customHeight="false" outlineLevel="0" collapsed="false">
      <c r="A3" s="9" t="s">
        <v>111</v>
      </c>
    </row>
    <row r="4" customFormat="false" ht="15" hidden="false" customHeight="false" outlineLevel="0" collapsed="false">
      <c r="A4" s="4" t="s">
        <v>112</v>
      </c>
      <c r="C4" s="12" t="n">
        <v>10000</v>
      </c>
    </row>
    <row r="5" customFormat="false" ht="15" hidden="false" customHeight="false" outlineLevel="0" collapsed="false">
      <c r="A5" s="4" t="s">
        <v>113</v>
      </c>
      <c r="C5" s="12" t="n">
        <v>5000</v>
      </c>
    </row>
    <row r="6" customFormat="false" ht="15" hidden="false" customHeight="false" outlineLevel="0" collapsed="false">
      <c r="A6" s="4" t="s">
        <v>114</v>
      </c>
      <c r="C6" s="12" t="n">
        <v>7000</v>
      </c>
    </row>
    <row r="7" customFormat="false" ht="15" hidden="false" customHeight="false" outlineLevel="0" collapsed="false">
      <c r="A7" s="4" t="s">
        <v>115</v>
      </c>
      <c r="C7" s="12" t="n">
        <v>35000</v>
      </c>
    </row>
    <row r="8" customFormat="false" ht="15" hidden="false" customHeight="false" outlineLevel="0" collapsed="false">
      <c r="A8" s="4" t="s">
        <v>116</v>
      </c>
      <c r="C8" s="13" t="n">
        <v>2</v>
      </c>
    </row>
    <row r="9" customFormat="false" ht="15" hidden="false" customHeight="false" outlineLevel="0" collapsed="false">
      <c r="A9" s="4" t="s">
        <v>117</v>
      </c>
      <c r="C9" s="13" t="n">
        <v>8</v>
      </c>
    </row>
    <row r="10" customFormat="false" ht="15" hidden="false" customHeight="false" outlineLevel="0" collapsed="false">
      <c r="A10" s="4" t="s">
        <v>118</v>
      </c>
      <c r="C10" s="13" t="n">
        <v>6</v>
      </c>
    </row>
    <row r="11" customFormat="false" ht="15" hidden="false" customHeight="false" outlineLevel="0" collapsed="false">
      <c r="A11" s="4" t="s">
        <v>119</v>
      </c>
      <c r="C11" s="12" t="n">
        <v>12000</v>
      </c>
    </row>
    <row r="13" customFormat="false" ht="15" hidden="false" customHeight="false" outlineLevel="0" collapsed="false">
      <c r="F13" s="2" t="s">
        <v>120</v>
      </c>
      <c r="G13" s="2"/>
      <c r="H13" s="2"/>
      <c r="I13" s="2"/>
    </row>
    <row r="14" customFormat="false" ht="45" hidden="false" customHeight="true" outlineLevel="0" collapsed="false">
      <c r="A14" s="3" t="s">
        <v>2</v>
      </c>
      <c r="B14" s="3" t="s">
        <v>5</v>
      </c>
      <c r="C14" s="3" t="s">
        <v>121</v>
      </c>
      <c r="D14" s="3" t="s">
        <v>8</v>
      </c>
      <c r="E14" s="3" t="s">
        <v>122</v>
      </c>
      <c r="F14" s="14" t="n">
        <v>2027</v>
      </c>
      <c r="G14" s="14" t="n">
        <f aca="false">F14+1</f>
        <v>2028</v>
      </c>
      <c r="H14" s="14" t="n">
        <f aca="false">G14+1</f>
        <v>2029</v>
      </c>
      <c r="I14" s="14" t="n">
        <f aca="false">H14+1</f>
        <v>2030</v>
      </c>
      <c r="J14" s="3" t="s">
        <v>123</v>
      </c>
      <c r="K14" s="3" t="s">
        <v>124</v>
      </c>
      <c r="L14" s="3" t="s">
        <v>125</v>
      </c>
      <c r="M14" s="3" t="s">
        <v>126</v>
      </c>
      <c r="N14" s="3" t="s">
        <v>119</v>
      </c>
      <c r="O14" s="3" t="s">
        <v>16</v>
      </c>
      <c r="P14" s="3" t="s">
        <v>127</v>
      </c>
    </row>
    <row r="15" customFormat="false" ht="15" hidden="false" customHeight="false" outlineLevel="0" collapsed="false">
      <c r="A15" s="5" t="s">
        <v>43</v>
      </c>
      <c r="B15" s="4" t="str">
        <f aca="false">IFERROR(INDEX('In gebruik'!$D:$D,MATCH($A15,'In gebruik'!$A:$A,0))&amp;"","")</f>
        <v>Algemene dienst</v>
      </c>
      <c r="C15" s="5" t="s">
        <v>1</v>
      </c>
      <c r="D15" s="6" t="n">
        <v>2027</v>
      </c>
      <c r="E15" s="6" t="n">
        <f aca="false">IF($C15="Lease-koop",D15+p_Lev,IF($C15="Koop",D15+IFERROR(INDEX('In gebruik'!$H:$H,MATCH($A15,'In gebruik'!$A:$A,0)),0),0))</f>
        <v>2035</v>
      </c>
      <c r="F15" s="15" t="n">
        <f aca="false">IF($C15="Lease-koop",IF(F$14=$D15,p_Aanbet+p_Belet+p_Opbouw,0)+IF(F$14=$M15,p_Slot,0),IF(F$14=$D15,N($L15),0))</f>
        <v>22000</v>
      </c>
      <c r="G15" s="15" t="n">
        <f aca="false">IF($C15="Lease-koop",IF(G$14=$D15,p_Aanbet+p_Belet+p_Opbouw,0)+IF(G$14=$M15,p_Slot,0),IF(G$14=$D15,N($L15),0))</f>
        <v>0</v>
      </c>
      <c r="H15" s="15" t="n">
        <f aca="false">IF($C15="Lease-koop",IF(H$14=$D15,p_Aanbet+p_Belet+p_Opbouw,0)+IF(H$14=$M15,p_Slot,0),IF(H$14=$D15,N($L15),0))</f>
        <v>35000</v>
      </c>
      <c r="I15" s="15" t="n">
        <f aca="false">IF($C15="Lease-koop",IF(I$14=$D15,p_Aanbet+p_Belet+p_Opbouw,0)+IF(I$14=$M15,p_Slot,0),IF(I$14=$D15,N($L15),0))</f>
        <v>0</v>
      </c>
      <c r="J15" s="6" t="n">
        <f aca="false">IF($C15="Lease-koop",p_Afschr,IF($C15="Koop",IFERROR(INDEX('In gebruik'!$H:$H,MATCH($A15,'In gebruik'!$A:$A,0)),0),0))</f>
        <v>6</v>
      </c>
      <c r="K15" s="16"/>
      <c r="L15" s="15" t="n">
        <f aca="false">p_Aanbet+p_Belet+p_Opbouw+p_Slot</f>
        <v>57000</v>
      </c>
      <c r="M15" s="6" t="n">
        <f aca="false">IF($C15="Lease-koop",D15+p_SlotJr,IF($C15="Koop",D15,0))</f>
        <v>2029</v>
      </c>
      <c r="N15" s="15" t="n">
        <f aca="false">IF($C15="Lease-koop",p_Lease,0)</f>
        <v>12000</v>
      </c>
      <c r="O15" s="5" t="str">
        <f aca="false">IFERROR(INDEX('In gebruik'!$O:$O,MATCH($A15,'In gebruik'!$A:$A,0))&amp;"","")</f>
        <v/>
      </c>
      <c r="P15" s="4"/>
    </row>
    <row r="16" customFormat="false" ht="15" hidden="false" customHeight="false" outlineLevel="0" collapsed="false">
      <c r="A16" s="5" t="s">
        <v>62</v>
      </c>
      <c r="B16" s="4" t="str">
        <f aca="false">IFERROR(INDEX('In gebruik'!$D:$D,MATCH($A16,'In gebruik'!$A:$A,0))&amp;"","")</f>
        <v>Algemene dienst</v>
      </c>
      <c r="C16" s="5" t="s">
        <v>1</v>
      </c>
      <c r="D16" s="6" t="n">
        <v>2027</v>
      </c>
      <c r="E16" s="6" t="n">
        <f aca="false">IF($C16="Lease-koop",D16+p_Lev,IF($C16="Koop",D16+IFERROR(INDEX('In gebruik'!$H:$H,MATCH($A16,'In gebruik'!$A:$A,0)),0),0))</f>
        <v>2035</v>
      </c>
      <c r="F16" s="15" t="n">
        <f aca="false">IF($C16="Lease-koop",IF(F$14=$D16,p_Aanbet+p_Belet+p_Opbouw,0)+IF(F$14=$M16,p_Slot,0),IF(F$14=$D16,N($L16),0))</f>
        <v>22000</v>
      </c>
      <c r="G16" s="15" t="n">
        <f aca="false">IF($C16="Lease-koop",IF(G$14=$D16,p_Aanbet+p_Belet+p_Opbouw,0)+IF(G$14=$M16,p_Slot,0),IF(G$14=$D16,N($L16),0))</f>
        <v>0</v>
      </c>
      <c r="H16" s="15" t="n">
        <f aca="false">IF($C16="Lease-koop",IF(H$14=$D16,p_Aanbet+p_Belet+p_Opbouw,0)+IF(H$14=$M16,p_Slot,0),IF(H$14=$D16,N($L16),0))</f>
        <v>35000</v>
      </c>
      <c r="I16" s="15" t="n">
        <f aca="false">IF($C16="Lease-koop",IF(I$14=$D16,p_Aanbet+p_Belet+p_Opbouw,0)+IF(I$14=$M16,p_Slot,0),IF(I$14=$D16,N($L16),0))</f>
        <v>0</v>
      </c>
      <c r="J16" s="6" t="n">
        <f aca="false">IF($C16="Lease-koop",p_Afschr,IF($C16="Koop",IFERROR(INDEX('In gebruik'!$H:$H,MATCH($A16,'In gebruik'!$A:$A,0)),0),0))</f>
        <v>6</v>
      </c>
      <c r="K16" s="16"/>
      <c r="L16" s="15" t="n">
        <f aca="false">p_Aanbet+p_Belet+p_Opbouw+p_Slot</f>
        <v>57000</v>
      </c>
      <c r="M16" s="6" t="n">
        <f aca="false">IF($C16="Lease-koop",D16+p_SlotJr,IF($C16="Koop",D16,0))</f>
        <v>2029</v>
      </c>
      <c r="N16" s="15" t="n">
        <f aca="false">IF($C16="Lease-koop",p_Lease,0)</f>
        <v>12000</v>
      </c>
      <c r="O16" s="5" t="str">
        <f aca="false">IFERROR(INDEX('In gebruik'!$O:$O,MATCH($A16,'In gebruik'!$A:$A,0))&amp;"","")</f>
        <v/>
      </c>
      <c r="P16" s="4"/>
    </row>
    <row r="17" customFormat="false" ht="15" hidden="false" customHeight="false" outlineLevel="0" collapsed="false">
      <c r="A17" s="5" t="s">
        <v>65</v>
      </c>
      <c r="B17" s="4" t="str">
        <f aca="false">IFERROR(INDEX('In gebruik'!$D:$D,MATCH($A17,'In gebruik'!$A:$A,0))&amp;"","")</f>
        <v>Speeltoestellen / groen</v>
      </c>
      <c r="C17" s="5" t="s">
        <v>1</v>
      </c>
      <c r="D17" s="6" t="n">
        <v>2027</v>
      </c>
      <c r="E17" s="6" t="n">
        <f aca="false">IF($C17="Lease-koop",D17+p_Lev,IF($C17="Koop",D17+IFERROR(INDEX('In gebruik'!$H:$H,MATCH($A17,'In gebruik'!$A:$A,0)),0),0))</f>
        <v>2035</v>
      </c>
      <c r="F17" s="15" t="n">
        <f aca="false">IF($C17="Lease-koop",IF(F$14=$D17,p_Aanbet+p_Belet+p_Opbouw,0)+IF(F$14=$M17,p_Slot,0),IF(F$14=$D17,N($L17),0))</f>
        <v>22000</v>
      </c>
      <c r="G17" s="15" t="n">
        <f aca="false">IF($C17="Lease-koop",IF(G$14=$D17,p_Aanbet+p_Belet+p_Opbouw,0)+IF(G$14=$M17,p_Slot,0),IF(G$14=$D17,N($L17),0))</f>
        <v>0</v>
      </c>
      <c r="H17" s="15" t="n">
        <f aca="false">IF($C17="Lease-koop",IF(H$14=$D17,p_Aanbet+p_Belet+p_Opbouw,0)+IF(H$14=$M17,p_Slot,0),IF(H$14=$D17,N($L17),0))</f>
        <v>35000</v>
      </c>
      <c r="I17" s="15" t="n">
        <f aca="false">IF($C17="Lease-koop",IF(I$14=$D17,p_Aanbet+p_Belet+p_Opbouw,0)+IF(I$14=$M17,p_Slot,0),IF(I$14=$D17,N($L17),0))</f>
        <v>0</v>
      </c>
      <c r="J17" s="6" t="n">
        <f aca="false">IF($C17="Lease-koop",p_Afschr,IF($C17="Koop",IFERROR(INDEX('In gebruik'!$H:$H,MATCH($A17,'In gebruik'!$A:$A,0)),0),0))</f>
        <v>6</v>
      </c>
      <c r="K17" s="16"/>
      <c r="L17" s="15" t="n">
        <f aca="false">p_Aanbet+p_Belet+p_Opbouw+p_Slot</f>
        <v>57000</v>
      </c>
      <c r="M17" s="6" t="n">
        <f aca="false">IF($C17="Lease-koop",D17+p_SlotJr,IF($C17="Koop",D17,0))</f>
        <v>2029</v>
      </c>
      <c r="N17" s="15" t="n">
        <f aca="false">IF($C17="Lease-koop",p_Lease,0)</f>
        <v>12000</v>
      </c>
      <c r="O17" s="5" t="str">
        <f aca="false">IFERROR(INDEX('In gebruik'!$O:$O,MATCH($A17,'In gebruik'!$A:$A,0))&amp;"","")</f>
        <v/>
      </c>
      <c r="P17" s="4"/>
    </row>
    <row r="18" customFormat="false" ht="15" hidden="false" customHeight="false" outlineLevel="0" collapsed="false">
      <c r="A18" s="5" t="s">
        <v>81</v>
      </c>
      <c r="B18" s="4" t="str">
        <f aca="false">IFERROR(INDEX('In gebruik'!$D:$D,MATCH($A18,'In gebruik'!$A:$A,0))&amp;"","")</f>
        <v>Sport</v>
      </c>
      <c r="C18" s="5" t="s">
        <v>21</v>
      </c>
      <c r="D18" s="6" t="n">
        <v>2027</v>
      </c>
      <c r="E18" s="6" t="n">
        <f aca="false">IF($C18="Lease-koop",D18+p_Lev,IF($C18="Koop",D18+IFERROR(INDEX('In gebruik'!$H:$H,MATCH($A18,'In gebruik'!$A:$A,0)),0),0))</f>
        <v>2042</v>
      </c>
      <c r="F18" s="15" t="n">
        <f aca="false">IF($C18="Lease-koop",IF(F$14=$D18,p_Aanbet+p_Belet+p_Opbouw,0)+IF(F$14=$M18,p_Slot,0),IF(F$14=$D18,N($L18),0))</f>
        <v>80000</v>
      </c>
      <c r="G18" s="15" t="n">
        <f aca="false">IF($C18="Lease-koop",IF(G$14=$D18,p_Aanbet+p_Belet+p_Opbouw,0)+IF(G$14=$M18,p_Slot,0),IF(G$14=$D18,N($L18),0))</f>
        <v>0</v>
      </c>
      <c r="H18" s="15" t="n">
        <f aca="false">IF($C18="Lease-koop",IF(H$14=$D18,p_Aanbet+p_Belet+p_Opbouw,0)+IF(H$14=$M18,p_Slot,0),IF(H$14=$D18,N($L18),0))</f>
        <v>0</v>
      </c>
      <c r="I18" s="15" t="n">
        <f aca="false">IF($C18="Lease-koop",IF(I$14=$D18,p_Aanbet+p_Belet+p_Opbouw,0)+IF(I$14=$M18,p_Slot,0),IF(I$14=$D18,N($L18),0))</f>
        <v>0</v>
      </c>
      <c r="J18" s="6" t="n">
        <f aca="false">IF($C18="Lease-koop",p_Afschr,IF($C18="Koop",IFERROR(INDEX('In gebruik'!$H:$H,MATCH($A18,'In gebruik'!$A:$A,0)),0),0))</f>
        <v>15</v>
      </c>
      <c r="K18" s="16"/>
      <c r="L18" s="15" t="n">
        <v>80000</v>
      </c>
      <c r="M18" s="6" t="n">
        <f aca="false">IF($C18="Lease-koop",D18+p_SlotJr,IF($C18="Koop",D18,0))</f>
        <v>2027</v>
      </c>
      <c r="N18" s="15" t="n">
        <f aca="false">IF($C18="Lease-koop",p_Lease,0)</f>
        <v>0</v>
      </c>
      <c r="O18" s="5" t="str">
        <f aca="false">IFERROR(INDEX('In gebruik'!$O:$O,MATCH($A18,'In gebruik'!$A:$A,0))&amp;"","")</f>
        <v/>
      </c>
      <c r="P18" s="4"/>
    </row>
    <row r="19" customFormat="false" ht="15" hidden="false" customHeight="false" outlineLevel="0" collapsed="false">
      <c r="A19" s="5" t="s">
        <v>92</v>
      </c>
      <c r="B19" s="4" t="str">
        <f aca="false">IFERROR(INDEX('In gebruik'!$D:$D,MATCH($A19,'In gebruik'!$A:$A,0))&amp;"","")</f>
        <v>Algemeen (dienstauto)</v>
      </c>
      <c r="C19" s="5" t="s">
        <v>1</v>
      </c>
      <c r="D19" s="6" t="n">
        <v>2027</v>
      </c>
      <c r="E19" s="6" t="n">
        <f aca="false">IF($C19="Lease-koop",D19+p_Lev,IF($C19="Koop",D19+IFERROR(INDEX('In gebruik'!$H:$H,MATCH($A19,'In gebruik'!$A:$A,0)),0),0))</f>
        <v>2035</v>
      </c>
      <c r="F19" s="15" t="n">
        <f aca="false">IF($C19="Lease-koop",IF(F$14=$D19,p_Aanbet+p_Belet+p_Opbouw,0)+IF(F$14=$M19,p_Slot,0),IF(F$14=$D19,N($L19),0))</f>
        <v>22000</v>
      </c>
      <c r="G19" s="15" t="n">
        <f aca="false">IF($C19="Lease-koop",IF(G$14=$D19,p_Aanbet+p_Belet+p_Opbouw,0)+IF(G$14=$M19,p_Slot,0),IF(G$14=$D19,N($L19),0))</f>
        <v>0</v>
      </c>
      <c r="H19" s="15" t="n">
        <f aca="false">IF($C19="Lease-koop",IF(H$14=$D19,p_Aanbet+p_Belet+p_Opbouw,0)+IF(H$14=$M19,p_Slot,0),IF(H$14=$D19,N($L19),0))</f>
        <v>35000</v>
      </c>
      <c r="I19" s="15" t="n">
        <f aca="false">IF($C19="Lease-koop",IF(I$14=$D19,p_Aanbet+p_Belet+p_Opbouw,0)+IF(I$14=$M19,p_Slot,0),IF(I$14=$D19,N($L19),0))</f>
        <v>0</v>
      </c>
      <c r="J19" s="6" t="n">
        <f aca="false">IF($C19="Lease-koop",p_Afschr,IF($C19="Koop",IFERROR(INDEX('In gebruik'!$H:$H,MATCH($A19,'In gebruik'!$A:$A,0)),0),0))</f>
        <v>6</v>
      </c>
      <c r="K19" s="16"/>
      <c r="L19" s="15" t="n">
        <f aca="false">p_Aanbet+p_Belet+p_Opbouw+p_Slot</f>
        <v>57000</v>
      </c>
      <c r="M19" s="6" t="n">
        <f aca="false">IF($C19="Lease-koop",D19+p_SlotJr,IF($C19="Koop",D19,0))</f>
        <v>2029</v>
      </c>
      <c r="N19" s="15" t="n">
        <f aca="false">IF($C19="Lease-koop",p_Lease,0)</f>
        <v>12000</v>
      </c>
      <c r="O19" s="5" t="str">
        <f aca="false">IFERROR(INDEX('In gebruik'!$O:$O,MATCH($A19,'In gebruik'!$A:$A,0))&amp;"","")</f>
        <v/>
      </c>
      <c r="P19" s="4"/>
    </row>
    <row r="20" customFormat="false" ht="15" hidden="false" customHeight="false" outlineLevel="0" collapsed="false">
      <c r="A20" s="5" t="s">
        <v>96</v>
      </c>
      <c r="B20" s="4" t="str">
        <f aca="false">IFERROR(INDEX('In gebruik'!$D:$D,MATCH($A20,'In gebruik'!$A:$A,0))&amp;"","")</f>
        <v>Handhaving</v>
      </c>
      <c r="C20" s="5" t="s">
        <v>1</v>
      </c>
      <c r="D20" s="6" t="n">
        <v>2027</v>
      </c>
      <c r="E20" s="6" t="n">
        <f aca="false">IF($C20="Lease-koop",D20+p_Lev,IF($C20="Koop",D20+IFERROR(INDEX('In gebruik'!$H:$H,MATCH($A20,'In gebruik'!$A:$A,0)),0),0))</f>
        <v>2035</v>
      </c>
      <c r="F20" s="15" t="n">
        <f aca="false">IF($C20="Lease-koop",IF(F$14=$D20,p_Aanbet+p_Belet+p_Opbouw,0)+IF(F$14=$M20,p_Slot,0),IF(F$14=$D20,N($L20),0))</f>
        <v>22000</v>
      </c>
      <c r="G20" s="15" t="n">
        <f aca="false">IF($C20="Lease-koop",IF(G$14=$D20,p_Aanbet+p_Belet+p_Opbouw,0)+IF(G$14=$M20,p_Slot,0),IF(G$14=$D20,N($L20),0))</f>
        <v>0</v>
      </c>
      <c r="H20" s="15" t="n">
        <f aca="false">IF($C20="Lease-koop",IF(H$14=$D20,p_Aanbet+p_Belet+p_Opbouw,0)+IF(H$14=$M20,p_Slot,0),IF(H$14=$D20,N($L20),0))</f>
        <v>35000</v>
      </c>
      <c r="I20" s="15" t="n">
        <f aca="false">IF($C20="Lease-koop",IF(I$14=$D20,p_Aanbet+p_Belet+p_Opbouw,0)+IF(I$14=$M20,p_Slot,0),IF(I$14=$D20,N($L20),0))</f>
        <v>0</v>
      </c>
      <c r="J20" s="6" t="n">
        <f aca="false">IF($C20="Lease-koop",p_Afschr,IF($C20="Koop",IFERROR(INDEX('In gebruik'!$H:$H,MATCH($A20,'In gebruik'!$A:$A,0)),0),0))</f>
        <v>6</v>
      </c>
      <c r="K20" s="16"/>
      <c r="L20" s="15" t="n">
        <f aca="false">p_Aanbet+p_Belet+p_Opbouw+p_Slot</f>
        <v>57000</v>
      </c>
      <c r="M20" s="6" t="n">
        <f aca="false">IF($C20="Lease-koop",D20+p_SlotJr,IF($C20="Koop",D20,0))</f>
        <v>2029</v>
      </c>
      <c r="N20" s="15" t="n">
        <f aca="false">IF($C20="Lease-koop",p_Lease,0)</f>
        <v>12000</v>
      </c>
      <c r="O20" s="5" t="str">
        <f aca="false">IFERROR(INDEX('In gebruik'!$O:$O,MATCH($A20,'In gebruik'!$A:$A,0))&amp;"","")</f>
        <v/>
      </c>
      <c r="P20" s="4"/>
    </row>
    <row r="21" customFormat="false" ht="15" hidden="false" customHeight="false" outlineLevel="0" collapsed="false">
      <c r="A21" s="5" t="s">
        <v>91</v>
      </c>
      <c r="B21" s="4" t="str">
        <f aca="false">IFERROR(INDEX('In gebruik'!$D:$D,MATCH($A21,'In gebruik'!$A:$A,0))&amp;"","")</f>
        <v>Gemeentewerf</v>
      </c>
      <c r="C21" s="5" t="s">
        <v>21</v>
      </c>
      <c r="D21" s="6" t="n">
        <v>2028</v>
      </c>
      <c r="E21" s="6" t="n">
        <f aca="false">IF($C21="Lease-koop",D21+p_Lev,IF($C21="Koop",D21+IFERROR(INDEX('In gebruik'!$H:$H,MATCH($A21,'In gebruik'!$A:$A,0)),0),0))</f>
        <v>2036</v>
      </c>
      <c r="F21" s="15" t="n">
        <f aca="false">IF($C21="Lease-koop",IF(F$14=$D21,p_Aanbet+p_Belet+p_Opbouw,0)+IF(F$14=$M21,p_Slot,0),IF(F$14=$D21,N($L21),0))</f>
        <v>0</v>
      </c>
      <c r="G21" s="15" t="n">
        <f aca="false">IF($C21="Lease-koop",IF(G$14=$D21,p_Aanbet+p_Belet+p_Opbouw,0)+IF(G$14=$M21,p_Slot,0),IF(G$14=$D21,N($L21),0))</f>
        <v>50000</v>
      </c>
      <c r="H21" s="15" t="n">
        <f aca="false">IF($C21="Lease-koop",IF(H$14=$D21,p_Aanbet+p_Belet+p_Opbouw,0)+IF(H$14=$M21,p_Slot,0),IF(H$14=$D21,N($L21),0))</f>
        <v>0</v>
      </c>
      <c r="I21" s="15" t="n">
        <f aca="false">IF($C21="Lease-koop",IF(I$14=$D21,p_Aanbet+p_Belet+p_Opbouw,0)+IF(I$14=$M21,p_Slot,0),IF(I$14=$D21,N($L21),0))</f>
        <v>0</v>
      </c>
      <c r="J21" s="6" t="n">
        <f aca="false">IF($C21="Lease-koop",p_Afschr,IF($C21="Koop",IFERROR(INDEX('In gebruik'!$H:$H,MATCH($A21,'In gebruik'!$A:$A,0)),0),0))</f>
        <v>8</v>
      </c>
      <c r="K21" s="16"/>
      <c r="L21" s="15" t="n">
        <v>50000</v>
      </c>
      <c r="M21" s="6" t="n">
        <f aca="false">IF($C21="Lease-koop",D21+p_SlotJr,IF($C21="Koop",D21,0))</f>
        <v>2028</v>
      </c>
      <c r="N21" s="15" t="n">
        <f aca="false">IF($C21="Lease-koop",p_Lease,0)</f>
        <v>0</v>
      </c>
      <c r="O21" s="5" t="str">
        <f aca="false">IFERROR(INDEX('In gebruik'!$O:$O,MATCH($A21,'In gebruik'!$A:$A,0))&amp;"","")</f>
        <v/>
      </c>
      <c r="P21" s="4" t="s">
        <v>128</v>
      </c>
    </row>
    <row r="22" customFormat="false" ht="15" hidden="false" customHeight="false" outlineLevel="0" collapsed="false">
      <c r="A22" s="5" t="s">
        <v>35</v>
      </c>
      <c r="B22" s="4" t="str">
        <f aca="false">IFERROR(INDEX('In gebruik'!$D:$D,MATCH($A22,'In gebruik'!$A:$A,0))&amp;"","")</f>
        <v>Kantoor</v>
      </c>
      <c r="C22" s="5" t="s">
        <v>1</v>
      </c>
      <c r="D22" s="6" t="n">
        <v>2029</v>
      </c>
      <c r="E22" s="6" t="n">
        <f aca="false">IF($C22="Lease-koop",D22+p_Lev,IF($C22="Koop",D22+IFERROR(INDEX('In gebruik'!$H:$H,MATCH($A22,'In gebruik'!$A:$A,0)),0),0))</f>
        <v>2037</v>
      </c>
      <c r="F22" s="15" t="n">
        <f aca="false">IF($C22="Lease-koop",IF(F$14=$D22,p_Aanbet+p_Belet+p_Opbouw,0)+IF(F$14=$M22,p_Slot,0),IF(F$14=$D22,N($L22),0))</f>
        <v>0</v>
      </c>
      <c r="G22" s="15" t="n">
        <f aca="false">IF($C22="Lease-koop",IF(G$14=$D22,p_Aanbet+p_Belet+p_Opbouw,0)+IF(G$14=$M22,p_Slot,0),IF(G$14=$D22,N($L22),0))</f>
        <v>0</v>
      </c>
      <c r="H22" s="15" t="n">
        <f aca="false">IF($C22="Lease-koop",IF(H$14=$D22,p_Aanbet+p_Belet+p_Opbouw,0)+IF(H$14=$M22,p_Slot,0),IF(H$14=$D22,N($L22),0))</f>
        <v>22000</v>
      </c>
      <c r="I22" s="15" t="n">
        <f aca="false">IF($C22="Lease-koop",IF(I$14=$D22,p_Aanbet+p_Belet+p_Opbouw,0)+IF(I$14=$M22,p_Slot,0),IF(I$14=$D22,N($L22),0))</f>
        <v>0</v>
      </c>
      <c r="J22" s="6" t="n">
        <f aca="false">IF($C22="Lease-koop",p_Afschr,IF($C22="Koop",IFERROR(INDEX('In gebruik'!$H:$H,MATCH($A22,'In gebruik'!$A:$A,0)),0),0))</f>
        <v>6</v>
      </c>
      <c r="K22" s="16"/>
      <c r="L22" s="15" t="n">
        <f aca="false">p_Aanbet+p_Belet+p_Opbouw+p_Slot</f>
        <v>57000</v>
      </c>
      <c r="M22" s="6" t="n">
        <f aca="false">IF($C22="Lease-koop",D22+p_SlotJr,IF($C22="Koop",D22,0))</f>
        <v>2031</v>
      </c>
      <c r="N22" s="15" t="n">
        <f aca="false">IF($C22="Lease-koop",p_Lease,0)</f>
        <v>12000</v>
      </c>
      <c r="O22" s="5" t="str">
        <f aca="false">IFERROR(INDEX('In gebruik'!$O:$O,MATCH($A22,'In gebruik'!$A:$A,0))&amp;"","")</f>
        <v/>
      </c>
      <c r="P22" s="4"/>
    </row>
    <row r="23" customFormat="false" ht="15" hidden="false" customHeight="false" outlineLevel="0" collapsed="false">
      <c r="A23" s="5" t="s">
        <v>84</v>
      </c>
      <c r="B23" s="4" t="str">
        <f aca="false">IFERROR(INDEX('In gebruik'!$D:$D,MATCH($A23,'In gebruik'!$A:$A,0))&amp;"","")</f>
        <v>Cultuur / Bossen</v>
      </c>
      <c r="C23" s="5" t="s">
        <v>21</v>
      </c>
      <c r="D23" s="6" t="n">
        <v>2029</v>
      </c>
      <c r="E23" s="6" t="n">
        <f aca="false">IF($C23="Lease-koop",D23+p_Lev,IF($C23="Koop",D23+IFERROR(INDEX('In gebruik'!$H:$H,MATCH($A23,'In gebruik'!$A:$A,0)),0),0))</f>
        <v>2049</v>
      </c>
      <c r="F23" s="15" t="n">
        <f aca="false">IF($C23="Lease-koop",IF(F$14=$D23,p_Aanbet+p_Belet+p_Opbouw,0)+IF(F$14=$M23,p_Slot,0),IF(F$14=$D23,N($L23),0))</f>
        <v>0</v>
      </c>
      <c r="G23" s="15" t="n">
        <f aca="false">IF($C23="Lease-koop",IF(G$14=$D23,p_Aanbet+p_Belet+p_Opbouw,0)+IF(G$14=$M23,p_Slot,0),IF(G$14=$D23,N($L23),0))</f>
        <v>0</v>
      </c>
      <c r="H23" s="15" t="n">
        <f aca="false">IF($C23="Lease-koop",IF(H$14=$D23,p_Aanbet+p_Belet+p_Opbouw,0)+IF(H$14=$M23,p_Slot,0),IF(H$14=$D23,N($L23),0))</f>
        <v>100000</v>
      </c>
      <c r="I23" s="15" t="n">
        <f aca="false">IF($C23="Lease-koop",IF(I$14=$D23,p_Aanbet+p_Belet+p_Opbouw,0)+IF(I$14=$M23,p_Slot,0),IF(I$14=$D23,N($L23),0))</f>
        <v>0</v>
      </c>
      <c r="J23" s="6" t="n">
        <f aca="false">IF($C23="Lease-koop",p_Afschr,IF($C23="Koop",IFERROR(INDEX('In gebruik'!$H:$H,MATCH($A23,'In gebruik'!$A:$A,0)),0),0))</f>
        <v>20</v>
      </c>
      <c r="K23" s="16"/>
      <c r="L23" s="15" t="n">
        <v>100000</v>
      </c>
      <c r="M23" s="6" t="n">
        <f aca="false">IF($C23="Lease-koop",D23+p_SlotJr,IF($C23="Koop",D23,0))</f>
        <v>2029</v>
      </c>
      <c r="N23" s="15" t="n">
        <f aca="false">IF($C23="Lease-koop",p_Lease,0)</f>
        <v>0</v>
      </c>
      <c r="O23" s="5" t="str">
        <f aca="false">IFERROR(INDEX('In gebruik'!$O:$O,MATCH($A23,'In gebruik'!$A:$A,0))&amp;"","")</f>
        <v/>
      </c>
      <c r="P23" s="4"/>
    </row>
    <row r="24" customFormat="false" ht="15" hidden="false" customHeight="false" outlineLevel="0" collapsed="false">
      <c r="A24" s="5" t="s">
        <v>103</v>
      </c>
      <c r="B24" s="4" t="str">
        <f aca="false">IFERROR(INDEX('In gebruik'!$D:$D,MATCH($A24,'In gebruik'!$A:$A,0))&amp;"","")</f>
        <v>Handhaving</v>
      </c>
      <c r="C24" s="5" t="s">
        <v>1</v>
      </c>
      <c r="D24" s="6" t="n">
        <v>2031</v>
      </c>
      <c r="E24" s="6" t="n">
        <f aca="false">IF($C24="Lease-koop",D24+p_Lev,IF($C24="Koop",D24+IFERROR(INDEX('In gebruik'!$H:$H,MATCH($A24,'In gebruik'!$A:$A,0)),0),0))</f>
        <v>2039</v>
      </c>
      <c r="F24" s="15" t="n">
        <f aca="false">IF($C24="Lease-koop",IF(F$14=$D24,p_Aanbet+p_Belet+p_Opbouw,0)+IF(F$14=$M24,p_Slot,0),IF(F$14=$D24,N($L24),0))</f>
        <v>0</v>
      </c>
      <c r="G24" s="15" t="n">
        <f aca="false">IF($C24="Lease-koop",IF(G$14=$D24,p_Aanbet+p_Belet+p_Opbouw,0)+IF(G$14=$M24,p_Slot,0),IF(G$14=$D24,N($L24),0))</f>
        <v>0</v>
      </c>
      <c r="H24" s="15" t="n">
        <f aca="false">IF($C24="Lease-koop",IF(H$14=$D24,p_Aanbet+p_Belet+p_Opbouw,0)+IF(H$14=$M24,p_Slot,0),IF(H$14=$D24,N($L24),0))</f>
        <v>0</v>
      </c>
      <c r="I24" s="15" t="n">
        <f aca="false">IF($C24="Lease-koop",IF(I$14=$D24,p_Aanbet+p_Belet+p_Opbouw,0)+IF(I$14=$M24,p_Slot,0),IF(I$14=$D24,N($L24),0))</f>
        <v>0</v>
      </c>
      <c r="J24" s="6" t="n">
        <f aca="false">IF($C24="Lease-koop",p_Afschr,IF($C24="Koop",IFERROR(INDEX('In gebruik'!$H:$H,MATCH($A24,'In gebruik'!$A:$A,0)),0),0))</f>
        <v>6</v>
      </c>
      <c r="K24" s="16"/>
      <c r="L24" s="15" t="n">
        <f aca="false">p_Aanbet+p_Belet+p_Opbouw+p_Slot</f>
        <v>57000</v>
      </c>
      <c r="M24" s="6" t="n">
        <f aca="false">IF($C24="Lease-koop",D24+p_SlotJr,IF($C24="Koop",D24,0))</f>
        <v>2033</v>
      </c>
      <c r="N24" s="15" t="n">
        <f aca="false">IF($C24="Lease-koop",p_Lease,0)</f>
        <v>12000</v>
      </c>
      <c r="O24" s="5" t="str">
        <f aca="false">IFERROR(INDEX('In gebruik'!$O:$O,MATCH($A24,'In gebruik'!$A:$A,0))&amp;"","")</f>
        <v/>
      </c>
      <c r="P24" s="4"/>
    </row>
    <row r="25" customFormat="false" ht="15" hidden="false" customHeight="false" outlineLevel="0" collapsed="false">
      <c r="A25" s="5" t="s">
        <v>18</v>
      </c>
      <c r="B25" s="4" t="str">
        <f aca="false">IFERROR(INDEX('In gebruik'!$D:$D,MATCH($A25,'In gebruik'!$A:$A,0))&amp;"","")</f>
        <v>Openbare ruimte</v>
      </c>
      <c r="C25" s="5" t="s">
        <v>21</v>
      </c>
      <c r="D25" s="6" t="n">
        <v>2032</v>
      </c>
      <c r="E25" s="6" t="n">
        <f aca="false">IF($C25="Lease-koop",D25+p_Lev,IF($C25="Koop",D25+IFERROR(INDEX('In gebruik'!$H:$H,MATCH($A25,'In gebruik'!$A:$A,0)),0),0))</f>
        <v>2040</v>
      </c>
      <c r="F25" s="15" t="n">
        <f aca="false">IF($C25="Lease-koop",IF(F$14=$D25,p_Aanbet+p_Belet+p_Opbouw,0)+IF(F$14=$M25,p_Slot,0),IF(F$14=$D25,N($L25),0))</f>
        <v>0</v>
      </c>
      <c r="G25" s="15" t="n">
        <f aca="false">IF($C25="Lease-koop",IF(G$14=$D25,p_Aanbet+p_Belet+p_Opbouw,0)+IF(G$14=$M25,p_Slot,0),IF(G$14=$D25,N($L25),0))</f>
        <v>0</v>
      </c>
      <c r="H25" s="15" t="n">
        <f aca="false">IF($C25="Lease-koop",IF(H$14=$D25,p_Aanbet+p_Belet+p_Opbouw,0)+IF(H$14=$M25,p_Slot,0),IF(H$14=$D25,N($L25),0))</f>
        <v>0</v>
      </c>
      <c r="I25" s="15" t="n">
        <f aca="false">IF($C25="Lease-koop",IF(I$14=$D25,p_Aanbet+p_Belet+p_Opbouw,0)+IF(I$14=$M25,p_Slot,0),IF(I$14=$D25,N($L25),0))</f>
        <v>0</v>
      </c>
      <c r="J25" s="6" t="n">
        <f aca="false">IF($C25="Lease-koop",p_Afschr,IF($C25="Koop",IFERROR(INDEX('In gebruik'!$H:$H,MATCH($A25,'In gebruik'!$A:$A,0)),0),0))</f>
        <v>8</v>
      </c>
      <c r="K25" s="16"/>
      <c r="L25" s="15" t="n">
        <v>248960</v>
      </c>
      <c r="M25" s="6" t="n">
        <f aca="false">IF($C25="Lease-koop",D25+p_SlotJr,IF($C25="Koop",D25,0))</f>
        <v>2032</v>
      </c>
      <c r="N25" s="15" t="n">
        <f aca="false">IF($C25="Lease-koop",p_Lease,0)</f>
        <v>0</v>
      </c>
      <c r="O25" s="5" t="str">
        <f aca="false">IFERROR(INDEX('In gebruik'!$O:$O,MATCH($A25,'In gebruik'!$A:$A,0))&amp;"","")</f>
        <v/>
      </c>
      <c r="P25" s="4"/>
    </row>
    <row r="26" customFormat="false" ht="15" hidden="false" customHeight="false" outlineLevel="0" collapsed="false">
      <c r="A26" s="5" t="s">
        <v>27</v>
      </c>
      <c r="B26" s="4" t="str">
        <f aca="false">IFERROR(INDEX('In gebruik'!$D:$D,MATCH($A26,'In gebruik'!$A:$A,0))&amp;"","")</f>
        <v>Gladheidsbestrijding</v>
      </c>
      <c r="C26" s="5" t="s">
        <v>129</v>
      </c>
      <c r="D26" s="6" t="n">
        <v>2032</v>
      </c>
      <c r="E26" s="6" t="n">
        <f aca="false">IF($C26="Lease-koop",D26+p_Lev,IF($C26="Koop",D26+IFERROR(INDEX('In gebruik'!$H:$H,MATCH($A26,'In gebruik'!$A:$A,0)),0),0))</f>
        <v>0</v>
      </c>
      <c r="F26" s="15" t="n">
        <f aca="false">IF($C26="Lease-koop",IF(F$14=$D26,p_Aanbet+p_Belet+p_Opbouw,0)+IF(F$14=$M26,p_Slot,0),IF(F$14=$D26,N($L26),0))</f>
        <v>0</v>
      </c>
      <c r="G26" s="15" t="n">
        <f aca="false">IF($C26="Lease-koop",IF(G$14=$D26,p_Aanbet+p_Belet+p_Opbouw,0)+IF(G$14=$M26,p_Slot,0),IF(G$14=$D26,N($L26),0))</f>
        <v>0</v>
      </c>
      <c r="H26" s="15" t="n">
        <f aca="false">IF($C26="Lease-koop",IF(H$14=$D26,p_Aanbet+p_Belet+p_Opbouw,0)+IF(H$14=$M26,p_Slot,0),IF(H$14=$D26,N($L26),0))</f>
        <v>0</v>
      </c>
      <c r="I26" s="15" t="n">
        <f aca="false">IF($C26="Lease-koop",IF(I$14=$D26,p_Aanbet+p_Belet+p_Opbouw,0)+IF(I$14=$M26,p_Slot,0),IF(I$14=$D26,N($L26),0))</f>
        <v>0</v>
      </c>
      <c r="J26" s="6" t="n">
        <f aca="false">IF($C26="Lease-koop",p_Afschr,IF($C26="Koop",IFERROR(INDEX('In gebruik'!$H:$H,MATCH($A26,'In gebruik'!$A:$A,0)),0),0))</f>
        <v>0</v>
      </c>
      <c r="K26" s="5"/>
      <c r="L26" s="15"/>
      <c r="M26" s="6" t="n">
        <f aca="false">IF($C26="Lease-koop",D26+p_SlotJr,IF($C26="Koop",D26,0))</f>
        <v>0</v>
      </c>
      <c r="N26" s="15" t="n">
        <f aca="false">IF($C26="Lease-koop",p_Lease,0)</f>
        <v>0</v>
      </c>
      <c r="O26" s="5" t="str">
        <f aca="false">IFERROR(INDEX('In gebruik'!$O:$O,MATCH($A26,'In gebruik'!$A:$A,0))&amp;"","")</f>
        <v/>
      </c>
      <c r="P26" s="4" t="s">
        <v>130</v>
      </c>
    </row>
    <row r="27" customFormat="false" ht="15" hidden="false" customHeight="false" outlineLevel="0" collapsed="false">
      <c r="A27" s="5" t="s">
        <v>31</v>
      </c>
      <c r="B27" s="4" t="str">
        <f aca="false">IFERROR(INDEX('In gebruik'!$D:$D,MATCH($A27,'In gebruik'!$A:$A,0))&amp;"","")</f>
        <v>Openbare ruimte (straatwerk)</v>
      </c>
      <c r="C27" s="5" t="s">
        <v>1</v>
      </c>
      <c r="D27" s="6" t="n">
        <v>2032</v>
      </c>
      <c r="E27" s="6" t="n">
        <f aca="false">IF($C27="Lease-koop",D27+p_Lev,IF($C27="Koop",D27+IFERROR(INDEX('In gebruik'!$H:$H,MATCH($A27,'In gebruik'!$A:$A,0)),0),0))</f>
        <v>2040</v>
      </c>
      <c r="F27" s="15" t="n">
        <f aca="false">IF($C27="Lease-koop",IF(F$14=$D27,p_Aanbet+p_Belet+p_Opbouw,0)+IF(F$14=$M27,p_Slot,0),IF(F$14=$D27,N($L27),0))</f>
        <v>0</v>
      </c>
      <c r="G27" s="15" t="n">
        <f aca="false">IF($C27="Lease-koop",IF(G$14=$D27,p_Aanbet+p_Belet+p_Opbouw,0)+IF(G$14=$M27,p_Slot,0),IF(G$14=$D27,N($L27),0))</f>
        <v>0</v>
      </c>
      <c r="H27" s="15" t="n">
        <f aca="false">IF($C27="Lease-koop",IF(H$14=$D27,p_Aanbet+p_Belet+p_Opbouw,0)+IF(H$14=$M27,p_Slot,0),IF(H$14=$D27,N($L27),0))</f>
        <v>0</v>
      </c>
      <c r="I27" s="15" t="n">
        <f aca="false">IF($C27="Lease-koop",IF(I$14=$D27,p_Aanbet+p_Belet+p_Opbouw,0)+IF(I$14=$M27,p_Slot,0),IF(I$14=$D27,N($L27),0))</f>
        <v>0</v>
      </c>
      <c r="J27" s="6" t="n">
        <f aca="false">IF($C27="Lease-koop",p_Afschr,IF($C27="Koop",IFERROR(INDEX('In gebruik'!$H:$H,MATCH($A27,'In gebruik'!$A:$A,0)),0),0))</f>
        <v>6</v>
      </c>
      <c r="K27" s="16"/>
      <c r="L27" s="15" t="n">
        <f aca="false">p_Aanbet+p_Belet+p_Opbouw+p_Slot</f>
        <v>57000</v>
      </c>
      <c r="M27" s="6" t="n">
        <f aca="false">IF($C27="Lease-koop",D27+p_SlotJr,IF($C27="Koop",D27,0))</f>
        <v>2034</v>
      </c>
      <c r="N27" s="15" t="n">
        <f aca="false">IF($C27="Lease-koop",p_Lease,0)</f>
        <v>12000</v>
      </c>
      <c r="O27" s="5" t="str">
        <f aca="false">IFERROR(INDEX('In gebruik'!$O:$O,MATCH($A27,'In gebruik'!$A:$A,0))&amp;"","")</f>
        <v/>
      </c>
      <c r="P27" s="4"/>
    </row>
    <row r="28" customFormat="false" ht="15" hidden="false" customHeight="false" outlineLevel="0" collapsed="false">
      <c r="A28" s="5" t="s">
        <v>50</v>
      </c>
      <c r="B28" s="4" t="str">
        <f aca="false">IFERROR(INDEX('In gebruik'!$D:$D,MATCH($A28,'In gebruik'!$A:$A,0))&amp;"","")</f>
        <v>Kantoor</v>
      </c>
      <c r="C28" s="5" t="s">
        <v>1</v>
      </c>
      <c r="D28" s="6" t="n">
        <v>2032</v>
      </c>
      <c r="E28" s="6" t="n">
        <f aca="false">IF($C28="Lease-koop",D28+p_Lev,IF($C28="Koop",D28+IFERROR(INDEX('In gebruik'!$H:$H,MATCH($A28,'In gebruik'!$A:$A,0)),0),0))</f>
        <v>2040</v>
      </c>
      <c r="F28" s="15" t="n">
        <f aca="false">IF($C28="Lease-koop",IF(F$14=$D28,p_Aanbet+p_Belet+p_Opbouw,0)+IF(F$14=$M28,p_Slot,0),IF(F$14=$D28,N($L28),0))</f>
        <v>0</v>
      </c>
      <c r="G28" s="15" t="n">
        <f aca="false">IF($C28="Lease-koop",IF(G$14=$D28,p_Aanbet+p_Belet+p_Opbouw,0)+IF(G$14=$M28,p_Slot,0),IF(G$14=$D28,N($L28),0))</f>
        <v>0</v>
      </c>
      <c r="H28" s="15" t="n">
        <f aca="false">IF($C28="Lease-koop",IF(H$14=$D28,p_Aanbet+p_Belet+p_Opbouw,0)+IF(H$14=$M28,p_Slot,0),IF(H$14=$D28,N($L28),0))</f>
        <v>0</v>
      </c>
      <c r="I28" s="15" t="n">
        <f aca="false">IF($C28="Lease-koop",IF(I$14=$D28,p_Aanbet+p_Belet+p_Opbouw,0)+IF(I$14=$M28,p_Slot,0),IF(I$14=$D28,N($L28),0))</f>
        <v>0</v>
      </c>
      <c r="J28" s="6" t="n">
        <f aca="false">IF($C28="Lease-koop",p_Afschr,IF($C28="Koop",IFERROR(INDEX('In gebruik'!$H:$H,MATCH($A28,'In gebruik'!$A:$A,0)),0),0))</f>
        <v>6</v>
      </c>
      <c r="K28" s="16"/>
      <c r="L28" s="15" t="n">
        <f aca="false">p_Aanbet+p_Belet+p_Opbouw+p_Slot</f>
        <v>57000</v>
      </c>
      <c r="M28" s="6" t="n">
        <f aca="false">IF($C28="Lease-koop",D28+p_SlotJr,IF($C28="Koop",D28,0))</f>
        <v>2034</v>
      </c>
      <c r="N28" s="15" t="n">
        <f aca="false">IF($C28="Lease-koop",p_Lease,0)</f>
        <v>12000</v>
      </c>
      <c r="O28" s="5" t="str">
        <f aca="false">IFERROR(INDEX('In gebruik'!$O:$O,MATCH($A28,'In gebruik'!$A:$A,0))&amp;"","")</f>
        <v/>
      </c>
      <c r="P28" s="4"/>
    </row>
    <row r="29" customFormat="false" ht="15" hidden="false" customHeight="false" outlineLevel="0" collapsed="false">
      <c r="A29" s="5" t="s">
        <v>58</v>
      </c>
      <c r="B29" s="4" t="str">
        <f aca="false">IFERROR(INDEX('In gebruik'!$D:$D,MATCH($A29,'In gebruik'!$A:$A,0))&amp;"","")</f>
        <v>Groen</v>
      </c>
      <c r="C29" s="5" t="s">
        <v>1</v>
      </c>
      <c r="D29" s="6" t="n">
        <v>2032</v>
      </c>
      <c r="E29" s="6" t="n">
        <f aca="false">IF($C29="Lease-koop",D29+p_Lev,IF($C29="Koop",D29+IFERROR(INDEX('In gebruik'!$H:$H,MATCH($A29,'In gebruik'!$A:$A,0)),0),0))</f>
        <v>2040</v>
      </c>
      <c r="F29" s="15" t="n">
        <f aca="false">IF($C29="Lease-koop",IF(F$14=$D29,p_Aanbet+p_Belet+p_Opbouw,0)+IF(F$14=$M29,p_Slot,0),IF(F$14=$D29,N($L29),0))</f>
        <v>0</v>
      </c>
      <c r="G29" s="15" t="n">
        <f aca="false">IF($C29="Lease-koop",IF(G$14=$D29,p_Aanbet+p_Belet+p_Opbouw,0)+IF(G$14=$M29,p_Slot,0),IF(G$14=$D29,N($L29),0))</f>
        <v>0</v>
      </c>
      <c r="H29" s="15" t="n">
        <f aca="false">IF($C29="Lease-koop",IF(H$14=$D29,p_Aanbet+p_Belet+p_Opbouw,0)+IF(H$14=$M29,p_Slot,0),IF(H$14=$D29,N($L29),0))</f>
        <v>0</v>
      </c>
      <c r="I29" s="15" t="n">
        <f aca="false">IF($C29="Lease-koop",IF(I$14=$D29,p_Aanbet+p_Belet+p_Opbouw,0)+IF(I$14=$M29,p_Slot,0),IF(I$14=$D29,N($L29),0))</f>
        <v>0</v>
      </c>
      <c r="J29" s="6" t="n">
        <f aca="false">IF($C29="Lease-koop",p_Afschr,IF($C29="Koop",IFERROR(INDEX('In gebruik'!$H:$H,MATCH($A29,'In gebruik'!$A:$A,0)),0),0))</f>
        <v>6</v>
      </c>
      <c r="K29" s="16"/>
      <c r="L29" s="15" t="n">
        <f aca="false">p_Aanbet+p_Belet+p_Opbouw+p_Slot</f>
        <v>57000</v>
      </c>
      <c r="M29" s="6" t="n">
        <f aca="false">IF($C29="Lease-koop",D29+p_SlotJr,IF($C29="Koop",D29,0))</f>
        <v>2034</v>
      </c>
      <c r="N29" s="15" t="n">
        <f aca="false">IF($C29="Lease-koop",p_Lease,0)</f>
        <v>12000</v>
      </c>
      <c r="O29" s="5" t="str">
        <f aca="false">IFERROR(INDEX('In gebruik'!$O:$O,MATCH($A29,'In gebruik'!$A:$A,0))&amp;"","")</f>
        <v/>
      </c>
      <c r="P29" s="4"/>
    </row>
    <row r="30" customFormat="false" ht="15" hidden="false" customHeight="false" outlineLevel="0" collapsed="false">
      <c r="A30" s="5" t="s">
        <v>53</v>
      </c>
      <c r="B30" s="4" t="str">
        <f aca="false">IFERROR(INDEX('In gebruik'!$D:$D,MATCH($A30,'In gebruik'!$A:$A,0))&amp;"","")</f>
        <v>Storingsdienst</v>
      </c>
      <c r="C30" s="5" t="s">
        <v>1</v>
      </c>
      <c r="D30" s="6" t="n">
        <v>2033</v>
      </c>
      <c r="E30" s="6" t="n">
        <f aca="false">IF($C30="Lease-koop",D30+p_Lev,IF($C30="Koop",D30+IFERROR(INDEX('In gebruik'!$H:$H,MATCH($A30,'In gebruik'!$A:$A,0)),0),0))</f>
        <v>2041</v>
      </c>
      <c r="F30" s="15" t="n">
        <f aca="false">IF($C30="Lease-koop",IF(F$14=$D30,p_Aanbet+p_Belet+p_Opbouw,0)+IF(F$14=$M30,p_Slot,0),IF(F$14=$D30,N($L30),0))</f>
        <v>0</v>
      </c>
      <c r="G30" s="15" t="n">
        <f aca="false">IF($C30="Lease-koop",IF(G$14=$D30,p_Aanbet+p_Belet+p_Opbouw,0)+IF(G$14=$M30,p_Slot,0),IF(G$14=$D30,N($L30),0))</f>
        <v>0</v>
      </c>
      <c r="H30" s="15" t="n">
        <f aca="false">IF($C30="Lease-koop",IF(H$14=$D30,p_Aanbet+p_Belet+p_Opbouw,0)+IF(H$14=$M30,p_Slot,0),IF(H$14=$D30,N($L30),0))</f>
        <v>0</v>
      </c>
      <c r="I30" s="15" t="n">
        <f aca="false">IF($C30="Lease-koop",IF(I$14=$D30,p_Aanbet+p_Belet+p_Opbouw,0)+IF(I$14=$M30,p_Slot,0),IF(I$14=$D30,N($L30),0))</f>
        <v>0</v>
      </c>
      <c r="J30" s="6" t="n">
        <f aca="false">IF($C30="Lease-koop",p_Afschr,IF($C30="Koop",IFERROR(INDEX('In gebruik'!$H:$H,MATCH($A30,'In gebruik'!$A:$A,0)),0),0))</f>
        <v>6</v>
      </c>
      <c r="K30" s="16"/>
      <c r="L30" s="15" t="n">
        <f aca="false">p_Aanbet+p_Belet+p_Opbouw+p_Slot</f>
        <v>57000</v>
      </c>
      <c r="M30" s="6" t="n">
        <f aca="false">IF($C30="Lease-koop",D30+p_SlotJr,IF($C30="Koop",D30,0))</f>
        <v>2035</v>
      </c>
      <c r="N30" s="15" t="n">
        <f aca="false">IF($C30="Lease-koop",p_Lease,0)</f>
        <v>12000</v>
      </c>
      <c r="O30" s="5" t="str">
        <f aca="false">IFERROR(INDEX('In gebruik'!$O:$O,MATCH($A30,'In gebruik'!$A:$A,0))&amp;"","")</f>
        <v/>
      </c>
      <c r="P30" s="4"/>
    </row>
    <row r="31" customFormat="false" ht="15" hidden="false" customHeight="false" outlineLevel="0" collapsed="false">
      <c r="A31" s="5" t="s">
        <v>88</v>
      </c>
      <c r="B31" s="4" t="str">
        <f aca="false">IFERROR(INDEX('In gebruik'!$D:$D,MATCH($A31,'In gebruik'!$A:$A,0))&amp;"","")</f>
        <v>Gemeentewerf</v>
      </c>
      <c r="C31" s="5" t="s">
        <v>21</v>
      </c>
      <c r="D31" s="6" t="n">
        <v>2033</v>
      </c>
      <c r="E31" s="6" t="n">
        <f aca="false">IF($C31="Lease-koop",D31+p_Lev,IF($C31="Koop",D31+IFERROR(INDEX('In gebruik'!$H:$H,MATCH($A31,'In gebruik'!$A:$A,0)),0),0))</f>
        <v>2043</v>
      </c>
      <c r="F31" s="15" t="n">
        <f aca="false">IF($C31="Lease-koop",IF(F$14=$D31,p_Aanbet+p_Belet+p_Opbouw,0)+IF(F$14=$M31,p_Slot,0),IF(F$14=$D31,N($L31),0))</f>
        <v>0</v>
      </c>
      <c r="G31" s="15" t="n">
        <f aca="false">IF($C31="Lease-koop",IF(G$14=$D31,p_Aanbet+p_Belet+p_Opbouw,0)+IF(G$14=$M31,p_Slot,0),IF(G$14=$D31,N($L31),0))</f>
        <v>0</v>
      </c>
      <c r="H31" s="15" t="n">
        <f aca="false">IF($C31="Lease-koop",IF(H$14=$D31,p_Aanbet+p_Belet+p_Opbouw,0)+IF(H$14=$M31,p_Slot,0),IF(H$14=$D31,N($L31),0))</f>
        <v>0</v>
      </c>
      <c r="I31" s="15" t="n">
        <f aca="false">IF($C31="Lease-koop",IF(I$14=$D31,p_Aanbet+p_Belet+p_Opbouw,0)+IF(I$14=$M31,p_Slot,0),IF(I$14=$D31,N($L31),0))</f>
        <v>0</v>
      </c>
      <c r="J31" s="6" t="n">
        <f aca="false">IF($C31="Lease-koop",p_Afschr,IF($C31="Koop",IFERROR(INDEX('In gebruik'!$H:$H,MATCH($A31,'In gebruik'!$A:$A,0)),0),0))</f>
        <v>10</v>
      </c>
      <c r="K31" s="16"/>
      <c r="L31" s="15" t="n">
        <v>19000</v>
      </c>
      <c r="M31" s="6" t="n">
        <f aca="false">IF($C31="Lease-koop",D31+p_SlotJr,IF($C31="Koop",D31,0))</f>
        <v>2033</v>
      </c>
      <c r="N31" s="15" t="n">
        <f aca="false">IF($C31="Lease-koop",p_Lease,0)</f>
        <v>0</v>
      </c>
      <c r="O31" s="5" t="str">
        <f aca="false">IFERROR(INDEX('In gebruik'!$O:$O,MATCH($A31,'In gebruik'!$A:$A,0))&amp;"","")</f>
        <v/>
      </c>
      <c r="P31" s="4"/>
    </row>
    <row r="32" customFormat="false" ht="15" hidden="false" customHeight="false" outlineLevel="0" collapsed="false">
      <c r="A32" s="5" t="s">
        <v>39</v>
      </c>
      <c r="B32" s="4" t="str">
        <f aca="false">IFERROR(INDEX('In gebruik'!$D:$D,MATCH($A32,'In gebruik'!$A:$A,0))&amp;"","")</f>
        <v>Cultuur / Bossen</v>
      </c>
      <c r="C32" s="5" t="s">
        <v>1</v>
      </c>
      <c r="D32" s="6" t="n">
        <v>2034</v>
      </c>
      <c r="E32" s="6" t="n">
        <f aca="false">IF($C32="Lease-koop",D32+p_Lev,IF($C32="Koop",D32+IFERROR(INDEX('In gebruik'!$H:$H,MATCH($A32,'In gebruik'!$A:$A,0)),0),0))</f>
        <v>2042</v>
      </c>
      <c r="F32" s="15" t="n">
        <f aca="false">IF($C32="Lease-koop",IF(F$14=$D32,p_Aanbet+p_Belet+p_Opbouw,0)+IF(F$14=$M32,p_Slot,0),IF(F$14=$D32,N($L32),0))</f>
        <v>0</v>
      </c>
      <c r="G32" s="15" t="n">
        <f aca="false">IF($C32="Lease-koop",IF(G$14=$D32,p_Aanbet+p_Belet+p_Opbouw,0)+IF(G$14=$M32,p_Slot,0),IF(G$14=$D32,N($L32),0))</f>
        <v>0</v>
      </c>
      <c r="H32" s="15" t="n">
        <f aca="false">IF($C32="Lease-koop",IF(H$14=$D32,p_Aanbet+p_Belet+p_Opbouw,0)+IF(H$14=$M32,p_Slot,0),IF(H$14=$D32,N($L32),0))</f>
        <v>0</v>
      </c>
      <c r="I32" s="15" t="n">
        <f aca="false">IF($C32="Lease-koop",IF(I$14=$D32,p_Aanbet+p_Belet+p_Opbouw,0)+IF(I$14=$M32,p_Slot,0),IF(I$14=$D32,N($L32),0))</f>
        <v>0</v>
      </c>
      <c r="J32" s="6" t="n">
        <f aca="false">IF($C32="Lease-koop",p_Afschr,IF($C32="Koop",IFERROR(INDEX('In gebruik'!$H:$H,MATCH($A32,'In gebruik'!$A:$A,0)),0),0))</f>
        <v>6</v>
      </c>
      <c r="K32" s="16"/>
      <c r="L32" s="15" t="n">
        <f aca="false">p_Aanbet+p_Belet+p_Opbouw+p_Slot</f>
        <v>57000</v>
      </c>
      <c r="M32" s="6" t="n">
        <f aca="false">IF($C32="Lease-koop",D32+p_SlotJr,IF($C32="Koop",D32,0))</f>
        <v>2036</v>
      </c>
      <c r="N32" s="15" t="n">
        <f aca="false">IF($C32="Lease-koop",p_Lease,0)</f>
        <v>12000</v>
      </c>
      <c r="O32" s="5" t="str">
        <f aca="false">IFERROR(INDEX('In gebruik'!$O:$O,MATCH($A32,'In gebruik'!$A:$A,0))&amp;"","")</f>
        <v>635901</v>
      </c>
      <c r="P32" s="4"/>
    </row>
    <row r="33" customFormat="false" ht="15" hidden="false" customHeight="false" outlineLevel="0" collapsed="false">
      <c r="A33" s="5" t="s">
        <v>47</v>
      </c>
      <c r="B33" s="4" t="str">
        <f aca="false">IFERROR(INDEX('In gebruik'!$D:$D,MATCH($A33,'In gebruik'!$A:$A,0))&amp;"","")</f>
        <v>Openbare ruimte (straatwerk)</v>
      </c>
      <c r="C33" s="5" t="s">
        <v>1</v>
      </c>
      <c r="D33" s="6" t="n">
        <v>2034</v>
      </c>
      <c r="E33" s="6" t="n">
        <f aca="false">IF($C33="Lease-koop",D33+p_Lev,IF($C33="Koop",D33+IFERROR(INDEX('In gebruik'!$H:$H,MATCH($A33,'In gebruik'!$A:$A,0)),0),0))</f>
        <v>2042</v>
      </c>
      <c r="F33" s="15" t="n">
        <f aca="false">IF($C33="Lease-koop",IF(F$14=$D33,p_Aanbet+p_Belet+p_Opbouw,0)+IF(F$14=$M33,p_Slot,0),IF(F$14=$D33,N($L33),0))</f>
        <v>0</v>
      </c>
      <c r="G33" s="15" t="n">
        <f aca="false">IF($C33="Lease-koop",IF(G$14=$D33,p_Aanbet+p_Belet+p_Opbouw,0)+IF(G$14=$M33,p_Slot,0),IF(G$14=$D33,N($L33),0))</f>
        <v>0</v>
      </c>
      <c r="H33" s="15" t="n">
        <f aca="false">IF($C33="Lease-koop",IF(H$14=$D33,p_Aanbet+p_Belet+p_Opbouw,0)+IF(H$14=$M33,p_Slot,0),IF(H$14=$D33,N($L33),0))</f>
        <v>0</v>
      </c>
      <c r="I33" s="15" t="n">
        <f aca="false">IF($C33="Lease-koop",IF(I$14=$D33,p_Aanbet+p_Belet+p_Opbouw,0)+IF(I$14=$M33,p_Slot,0),IF(I$14=$D33,N($L33),0))</f>
        <v>0</v>
      </c>
      <c r="J33" s="6" t="n">
        <f aca="false">IF($C33="Lease-koop",p_Afschr,IF($C33="Koop",IFERROR(INDEX('In gebruik'!$H:$H,MATCH($A33,'In gebruik'!$A:$A,0)),0),0))</f>
        <v>6</v>
      </c>
      <c r="K33" s="16"/>
      <c r="L33" s="15" t="n">
        <f aca="false">p_Aanbet+p_Belet+p_Opbouw+p_Slot</f>
        <v>57000</v>
      </c>
      <c r="M33" s="6" t="n">
        <f aca="false">IF($C33="Lease-koop",D33+p_SlotJr,IF($C33="Koop",D33,0))</f>
        <v>2036</v>
      </c>
      <c r="N33" s="15" t="n">
        <f aca="false">IF($C33="Lease-koop",p_Lease,0)</f>
        <v>12000</v>
      </c>
      <c r="O33" s="5" t="str">
        <f aca="false">IFERROR(INDEX('In gebruik'!$O:$O,MATCH($A33,'In gebruik'!$A:$A,0))&amp;"","")</f>
        <v>617901</v>
      </c>
      <c r="P33" s="4"/>
    </row>
    <row r="34" customFormat="false" ht="15" hidden="false" customHeight="false" outlineLevel="0" collapsed="false">
      <c r="A34" s="5" t="s">
        <v>56</v>
      </c>
      <c r="B34" s="4" t="str">
        <f aca="false">IFERROR(INDEX('In gebruik'!$D:$D,MATCH($A34,'In gebruik'!$A:$A,0))&amp;"","")</f>
        <v>Cultuur / Bossen</v>
      </c>
      <c r="C34" s="5" t="s">
        <v>1</v>
      </c>
      <c r="D34" s="6" t="n">
        <v>2034</v>
      </c>
      <c r="E34" s="6" t="n">
        <f aca="false">IF($C34="Lease-koop",D34+p_Lev,IF($C34="Koop",D34+IFERROR(INDEX('In gebruik'!$H:$H,MATCH($A34,'In gebruik'!$A:$A,0)),0),0))</f>
        <v>2042</v>
      </c>
      <c r="F34" s="15" t="n">
        <f aca="false">IF($C34="Lease-koop",IF(F$14=$D34,p_Aanbet+p_Belet+p_Opbouw,0)+IF(F$14=$M34,p_Slot,0),IF(F$14=$D34,N($L34),0))</f>
        <v>0</v>
      </c>
      <c r="G34" s="15" t="n">
        <f aca="false">IF($C34="Lease-koop",IF(G$14=$D34,p_Aanbet+p_Belet+p_Opbouw,0)+IF(G$14=$M34,p_Slot,0),IF(G$14=$D34,N($L34),0))</f>
        <v>0</v>
      </c>
      <c r="H34" s="15" t="n">
        <f aca="false">IF($C34="Lease-koop",IF(H$14=$D34,p_Aanbet+p_Belet+p_Opbouw,0)+IF(H$14=$M34,p_Slot,0),IF(H$14=$D34,N($L34),0))</f>
        <v>0</v>
      </c>
      <c r="I34" s="15" t="n">
        <f aca="false">IF($C34="Lease-koop",IF(I$14=$D34,p_Aanbet+p_Belet+p_Opbouw,0)+IF(I$14=$M34,p_Slot,0),IF(I$14=$D34,N($L34),0))</f>
        <v>0</v>
      </c>
      <c r="J34" s="6" t="n">
        <f aca="false">IF($C34="Lease-koop",p_Afschr,IF($C34="Koop",IFERROR(INDEX('In gebruik'!$H:$H,MATCH($A34,'In gebruik'!$A:$A,0)),0),0))</f>
        <v>6</v>
      </c>
      <c r="K34" s="16"/>
      <c r="L34" s="15" t="n">
        <f aca="false">p_Aanbet+p_Belet+p_Opbouw+p_Slot</f>
        <v>57000</v>
      </c>
      <c r="M34" s="6" t="n">
        <f aca="false">IF($C34="Lease-koop",D34+p_SlotJr,IF($C34="Koop",D34,0))</f>
        <v>2036</v>
      </c>
      <c r="N34" s="15" t="n">
        <f aca="false">IF($C34="Lease-koop",p_Lease,0)</f>
        <v>12000</v>
      </c>
      <c r="O34" s="5" t="str">
        <f aca="false">IFERROR(INDEX('In gebruik'!$O:$O,MATCH($A34,'In gebruik'!$A:$A,0))&amp;"","")</f>
        <v>635901</v>
      </c>
      <c r="P34" s="4"/>
    </row>
    <row r="35" customFormat="false" ht="15" hidden="false" customHeight="false" outlineLevel="0" collapsed="false">
      <c r="A35" s="5" t="s">
        <v>69</v>
      </c>
      <c r="B35" s="4" t="str">
        <f aca="false">IFERROR(INDEX('In gebruik'!$D:$D,MATCH($A35,'In gebruik'!$A:$A,0))&amp;"","")</f>
        <v>Garage</v>
      </c>
      <c r="C35" s="5" t="s">
        <v>1</v>
      </c>
      <c r="D35" s="6" t="n">
        <v>2034</v>
      </c>
      <c r="E35" s="6" t="n">
        <f aca="false">IF($C35="Lease-koop",D35+p_Lev,IF($C35="Koop",D35+IFERROR(INDEX('In gebruik'!$H:$H,MATCH($A35,'In gebruik'!$A:$A,0)),0),0))</f>
        <v>2042</v>
      </c>
      <c r="F35" s="15" t="n">
        <f aca="false">IF($C35="Lease-koop",IF(F$14=$D35,p_Aanbet+p_Belet+p_Opbouw,0)+IF(F$14=$M35,p_Slot,0),IF(F$14=$D35,N($L35),0))</f>
        <v>0</v>
      </c>
      <c r="G35" s="15" t="n">
        <f aca="false">IF($C35="Lease-koop",IF(G$14=$D35,p_Aanbet+p_Belet+p_Opbouw,0)+IF(G$14=$M35,p_Slot,0),IF(G$14=$D35,N($L35),0))</f>
        <v>0</v>
      </c>
      <c r="H35" s="15" t="n">
        <f aca="false">IF($C35="Lease-koop",IF(H$14=$D35,p_Aanbet+p_Belet+p_Opbouw,0)+IF(H$14=$M35,p_Slot,0),IF(H$14=$D35,N($L35),0))</f>
        <v>0</v>
      </c>
      <c r="I35" s="15" t="n">
        <f aca="false">IF($C35="Lease-koop",IF(I$14=$D35,p_Aanbet+p_Belet+p_Opbouw,0)+IF(I$14=$M35,p_Slot,0),IF(I$14=$D35,N($L35),0))</f>
        <v>0</v>
      </c>
      <c r="J35" s="6" t="n">
        <f aca="false">IF($C35="Lease-koop",p_Afschr,IF($C35="Koop",IFERROR(INDEX('In gebruik'!$H:$H,MATCH($A35,'In gebruik'!$A:$A,0)),0),0))</f>
        <v>6</v>
      </c>
      <c r="K35" s="16"/>
      <c r="L35" s="15" t="n">
        <f aca="false">p_Aanbet+p_Belet+p_Opbouw+p_Slot</f>
        <v>57000</v>
      </c>
      <c r="M35" s="6" t="n">
        <f aca="false">IF($C35="Lease-koop",D35+p_SlotJr,IF($C35="Koop",D35,0))</f>
        <v>2036</v>
      </c>
      <c r="N35" s="15" t="n">
        <f aca="false">IF($C35="Lease-koop",p_Lease,0)</f>
        <v>12000</v>
      </c>
      <c r="O35" s="5" t="str">
        <f aca="false">IFERROR(INDEX('In gebruik'!$O:$O,MATCH($A35,'In gebruik'!$A:$A,0))&amp;"","")</f>
        <v>604901</v>
      </c>
      <c r="P35" s="4"/>
    </row>
    <row r="36" customFormat="false" ht="15" hidden="false" customHeight="false" outlineLevel="0" collapsed="false">
      <c r="A36" s="5" t="s">
        <v>72</v>
      </c>
      <c r="B36" s="4" t="str">
        <f aca="false">IFERROR(INDEX('In gebruik'!$D:$D,MATCH($A36,'In gebruik'!$A:$A,0))&amp;"","")</f>
        <v>Sport</v>
      </c>
      <c r="C36" s="5" t="s">
        <v>1</v>
      </c>
      <c r="D36" s="6" t="n">
        <v>2034</v>
      </c>
      <c r="E36" s="6" t="n">
        <f aca="false">IF($C36="Lease-koop",D36+p_Lev,IF($C36="Koop",D36+IFERROR(INDEX('In gebruik'!$H:$H,MATCH($A36,'In gebruik'!$A:$A,0)),0),0))</f>
        <v>2042</v>
      </c>
      <c r="F36" s="15" t="n">
        <f aca="false">IF($C36="Lease-koop",IF(F$14=$D36,p_Aanbet+p_Belet+p_Opbouw,0)+IF(F$14=$M36,p_Slot,0),IF(F$14=$D36,N($L36),0))</f>
        <v>0</v>
      </c>
      <c r="G36" s="15" t="n">
        <f aca="false">IF($C36="Lease-koop",IF(G$14=$D36,p_Aanbet+p_Belet+p_Opbouw,0)+IF(G$14=$M36,p_Slot,0),IF(G$14=$D36,N($L36),0))</f>
        <v>0</v>
      </c>
      <c r="H36" s="15" t="n">
        <f aca="false">IF($C36="Lease-koop",IF(H$14=$D36,p_Aanbet+p_Belet+p_Opbouw,0)+IF(H$14=$M36,p_Slot,0),IF(H$14=$D36,N($L36),0))</f>
        <v>0</v>
      </c>
      <c r="I36" s="15" t="n">
        <f aca="false">IF($C36="Lease-koop",IF(I$14=$D36,p_Aanbet+p_Belet+p_Opbouw,0)+IF(I$14=$M36,p_Slot,0),IF(I$14=$D36,N($L36),0))</f>
        <v>0</v>
      </c>
      <c r="J36" s="6" t="n">
        <f aca="false">IF($C36="Lease-koop",p_Afschr,IF($C36="Koop",IFERROR(INDEX('In gebruik'!$H:$H,MATCH($A36,'In gebruik'!$A:$A,0)),0),0))</f>
        <v>6</v>
      </c>
      <c r="K36" s="16"/>
      <c r="L36" s="15" t="n">
        <f aca="false">p_Aanbet+p_Belet+p_Opbouw+p_Slot</f>
        <v>57000</v>
      </c>
      <c r="M36" s="6" t="n">
        <f aca="false">IF($C36="Lease-koop",D36+p_SlotJr,IF($C36="Koop",D36,0))</f>
        <v>2036</v>
      </c>
      <c r="N36" s="15" t="n">
        <f aca="false">IF($C36="Lease-koop",p_Lease,0)</f>
        <v>12000</v>
      </c>
      <c r="O36" s="5" t="str">
        <f aca="false">IFERROR(INDEX('In gebruik'!$O:$O,MATCH($A36,'In gebruik'!$A:$A,0))&amp;"","")</f>
        <v>630901</v>
      </c>
      <c r="P36" s="4"/>
    </row>
    <row r="37" customFormat="false" ht="15" hidden="false" customHeight="false" outlineLevel="0" collapsed="false">
      <c r="A37" s="5" t="s">
        <v>75</v>
      </c>
      <c r="B37" s="4" t="str">
        <f aca="false">IFERROR(INDEX('In gebruik'!$D:$D,MATCH($A37,'In gebruik'!$A:$A,0))&amp;"","")</f>
        <v>Gebouwen (timmerman)</v>
      </c>
      <c r="C37" s="5" t="s">
        <v>1</v>
      </c>
      <c r="D37" s="6" t="n">
        <v>2034</v>
      </c>
      <c r="E37" s="6" t="n">
        <f aca="false">IF($C37="Lease-koop",D37+p_Lev,IF($C37="Koop",D37+IFERROR(INDEX('In gebruik'!$H:$H,MATCH($A37,'In gebruik'!$A:$A,0)),0),0))</f>
        <v>2042</v>
      </c>
      <c r="F37" s="15" t="n">
        <f aca="false">IF($C37="Lease-koop",IF(F$14=$D37,p_Aanbet+p_Belet+p_Opbouw,0)+IF(F$14=$M37,p_Slot,0),IF(F$14=$D37,N($L37),0))</f>
        <v>0</v>
      </c>
      <c r="G37" s="15" t="n">
        <f aca="false">IF($C37="Lease-koop",IF(G$14=$D37,p_Aanbet+p_Belet+p_Opbouw,0)+IF(G$14=$M37,p_Slot,0),IF(G$14=$D37,N($L37),0))</f>
        <v>0</v>
      </c>
      <c r="H37" s="15" t="n">
        <f aca="false">IF($C37="Lease-koop",IF(H$14=$D37,p_Aanbet+p_Belet+p_Opbouw,0)+IF(H$14=$M37,p_Slot,0),IF(H$14=$D37,N($L37),0))</f>
        <v>0</v>
      </c>
      <c r="I37" s="15" t="n">
        <f aca="false">IF($C37="Lease-koop",IF(I$14=$D37,p_Aanbet+p_Belet+p_Opbouw,0)+IF(I$14=$M37,p_Slot,0),IF(I$14=$D37,N($L37),0))</f>
        <v>0</v>
      </c>
      <c r="J37" s="6" t="n">
        <f aca="false">IF($C37="Lease-koop",p_Afschr,IF($C37="Koop",IFERROR(INDEX('In gebruik'!$H:$H,MATCH($A37,'In gebruik'!$A:$A,0)),0),0))</f>
        <v>6</v>
      </c>
      <c r="K37" s="16"/>
      <c r="L37" s="15" t="n">
        <f aca="false">p_Aanbet+p_Belet+p_Opbouw+p_Slot</f>
        <v>57000</v>
      </c>
      <c r="M37" s="6" t="n">
        <f aca="false">IF($C37="Lease-koop",D37+p_SlotJr,IF($C37="Koop",D37,0))</f>
        <v>2036</v>
      </c>
      <c r="N37" s="15" t="n">
        <f aca="false">IF($C37="Lease-koop",p_Lease,0)</f>
        <v>12000</v>
      </c>
      <c r="O37" s="5" t="str">
        <f aca="false">IFERROR(INDEX('In gebruik'!$O:$O,MATCH($A37,'In gebruik'!$A:$A,0))&amp;"","")</f>
        <v>604901</v>
      </c>
      <c r="P37" s="4"/>
    </row>
    <row r="38" customFormat="false" ht="15" hidden="false" customHeight="false" outlineLevel="0" collapsed="false">
      <c r="A38" s="5" t="s">
        <v>86</v>
      </c>
      <c r="B38" s="4" t="str">
        <f aca="false">IFERROR(INDEX('In gebruik'!$D:$D,MATCH($A38,'In gebruik'!$A:$A,0))&amp;"","")</f>
        <v>Sport</v>
      </c>
      <c r="C38" s="5" t="s">
        <v>21</v>
      </c>
      <c r="D38" s="6" t="n">
        <v>2034</v>
      </c>
      <c r="E38" s="6" t="n">
        <f aca="false">IF($C38="Lease-koop",D38+p_Lev,IF($C38="Koop",D38+IFERROR(INDEX('In gebruik'!$H:$H,MATCH($A38,'In gebruik'!$A:$A,0)),0),0))</f>
        <v>2044</v>
      </c>
      <c r="F38" s="15" t="n">
        <f aca="false">IF($C38="Lease-koop",IF(F$14=$D38,p_Aanbet+p_Belet+p_Opbouw,0)+IF(F$14=$M38,p_Slot,0),IF(F$14=$D38,N($L38),0))</f>
        <v>0</v>
      </c>
      <c r="G38" s="15" t="n">
        <f aca="false">IF($C38="Lease-koop",IF(G$14=$D38,p_Aanbet+p_Belet+p_Opbouw,0)+IF(G$14=$M38,p_Slot,0),IF(G$14=$D38,N($L38),0))</f>
        <v>0</v>
      </c>
      <c r="H38" s="15" t="n">
        <f aca="false">IF($C38="Lease-koop",IF(H$14=$D38,p_Aanbet+p_Belet+p_Opbouw,0)+IF(H$14=$M38,p_Slot,0),IF(H$14=$D38,N($L38),0))</f>
        <v>0</v>
      </c>
      <c r="I38" s="15" t="n">
        <f aca="false">IF($C38="Lease-koop",IF(I$14=$D38,p_Aanbet+p_Belet+p_Opbouw,0)+IF(I$14=$M38,p_Slot,0),IF(I$14=$D38,N($L38),0))</f>
        <v>0</v>
      </c>
      <c r="J38" s="6" t="n">
        <f aca="false">IF($C38="Lease-koop",p_Afschr,IF($C38="Koop",IFERROR(INDEX('In gebruik'!$H:$H,MATCH($A38,'In gebruik'!$A:$A,0)),0),0))</f>
        <v>10</v>
      </c>
      <c r="K38" s="16"/>
      <c r="L38" s="15" t="n">
        <v>51100</v>
      </c>
      <c r="M38" s="6" t="n">
        <f aca="false">IF($C38="Lease-koop",D38+p_SlotJr,IF($C38="Koop",D38,0))</f>
        <v>2034</v>
      </c>
      <c r="N38" s="15" t="n">
        <f aca="false">IF($C38="Lease-koop",p_Lease,0)</f>
        <v>0</v>
      </c>
      <c r="O38" s="5" t="str">
        <f aca="false">IFERROR(INDEX('In gebruik'!$O:$O,MATCH($A38,'In gebruik'!$A:$A,0))&amp;"","")</f>
        <v/>
      </c>
      <c r="P38" s="4"/>
    </row>
    <row r="39" customFormat="false" ht="15" hidden="false" customHeight="false" outlineLevel="0" collapsed="false">
      <c r="A39" s="5" t="s">
        <v>99</v>
      </c>
      <c r="B39" s="4" t="str">
        <f aca="false">IFERROR(INDEX('In gebruik'!$D:$D,MATCH($A39,'In gebruik'!$A:$A,0))&amp;"","")</f>
        <v>Veiligheid</v>
      </c>
      <c r="C39" s="5" t="s">
        <v>1</v>
      </c>
      <c r="D39" s="6" t="n">
        <v>2034</v>
      </c>
      <c r="E39" s="6" t="n">
        <f aca="false">IF($C39="Lease-koop",D39+p_Lev,IF($C39="Koop",D39+IFERROR(INDEX('In gebruik'!$H:$H,MATCH($A39,'In gebruik'!$A:$A,0)),0),0))</f>
        <v>2042</v>
      </c>
      <c r="F39" s="15" t="n">
        <f aca="false">IF($C39="Lease-koop",IF(F$14=$D39,p_Aanbet+p_Belet+p_Opbouw,0)+IF(F$14=$M39,p_Slot,0),IF(F$14=$D39,N($L39),0))</f>
        <v>0</v>
      </c>
      <c r="G39" s="15" t="n">
        <f aca="false">IF($C39="Lease-koop",IF(G$14=$D39,p_Aanbet+p_Belet+p_Opbouw,0)+IF(G$14=$M39,p_Slot,0),IF(G$14=$D39,N($L39),0))</f>
        <v>0</v>
      </c>
      <c r="H39" s="15" t="n">
        <f aca="false">IF($C39="Lease-koop",IF(H$14=$D39,p_Aanbet+p_Belet+p_Opbouw,0)+IF(H$14=$M39,p_Slot,0),IF(H$14=$D39,N($L39),0))</f>
        <v>0</v>
      </c>
      <c r="I39" s="15" t="n">
        <f aca="false">IF($C39="Lease-koop",IF(I$14=$D39,p_Aanbet+p_Belet+p_Opbouw,0)+IF(I$14=$M39,p_Slot,0),IF(I$14=$D39,N($L39),0))</f>
        <v>0</v>
      </c>
      <c r="J39" s="6" t="n">
        <f aca="false">IF($C39="Lease-koop",p_Afschr,IF($C39="Koop",IFERROR(INDEX('In gebruik'!$H:$H,MATCH($A39,'In gebruik'!$A:$A,0)),0),0))</f>
        <v>6</v>
      </c>
      <c r="K39" s="16"/>
      <c r="L39" s="15" t="n">
        <f aca="false">p_Aanbet+p_Belet+p_Opbouw+p_Slot</f>
        <v>57000</v>
      </c>
      <c r="M39" s="6" t="n">
        <f aca="false">IF($C39="Lease-koop",D39+p_SlotJr,IF($C39="Koop",D39,0))</f>
        <v>2036</v>
      </c>
      <c r="N39" s="15" t="n">
        <f aca="false">IF($C39="Lease-koop",p_Lease,0)</f>
        <v>12000</v>
      </c>
      <c r="O39" s="5" t="str">
        <f aca="false">IFERROR(INDEX('In gebruik'!$O:$O,MATCH($A39,'In gebruik'!$A:$A,0))&amp;"","")</f>
        <v/>
      </c>
      <c r="P39" s="4"/>
    </row>
    <row r="40" customFormat="false" ht="15" hidden="false" customHeight="false" outlineLevel="0" collapsed="false">
      <c r="A40" s="5" t="s">
        <v>23</v>
      </c>
      <c r="B40" s="4" t="str">
        <f aca="false">IFERROR(INDEX('In gebruik'!$D:$D,MATCH($A40,'In gebruik'!$A:$A,0))&amp;"","")</f>
        <v>Riolering</v>
      </c>
      <c r="C40" s="5" t="s">
        <v>21</v>
      </c>
      <c r="D40" s="6" t="n">
        <v>2035</v>
      </c>
      <c r="E40" s="6" t="n">
        <f aca="false">IF($C40="Lease-koop",D40+p_Lev,IF($C40="Koop",D40+IFERROR(INDEX('In gebruik'!$H:$H,MATCH($A40,'In gebruik'!$A:$A,0)),0),0))</f>
        <v>2047</v>
      </c>
      <c r="F40" s="15" t="n">
        <f aca="false">IF($C40="Lease-koop",IF(F$14=$D40,p_Aanbet+p_Belet+p_Opbouw,0)+IF(F$14=$M40,p_Slot,0),IF(F$14=$D40,N($L40),0))</f>
        <v>0</v>
      </c>
      <c r="G40" s="15" t="n">
        <f aca="false">IF($C40="Lease-koop",IF(G$14=$D40,p_Aanbet+p_Belet+p_Opbouw,0)+IF(G$14=$M40,p_Slot,0),IF(G$14=$D40,N($L40),0))</f>
        <v>0</v>
      </c>
      <c r="H40" s="15" t="n">
        <f aca="false">IF($C40="Lease-koop",IF(H$14=$D40,p_Aanbet+p_Belet+p_Opbouw,0)+IF(H$14=$M40,p_Slot,0),IF(H$14=$D40,N($L40),0))</f>
        <v>0</v>
      </c>
      <c r="I40" s="15" t="n">
        <f aca="false">IF($C40="Lease-koop",IF(I$14=$D40,p_Aanbet+p_Belet+p_Opbouw,0)+IF(I$14=$M40,p_Slot,0),IF(I$14=$D40,N($L40),0))</f>
        <v>0</v>
      </c>
      <c r="J40" s="6" t="n">
        <f aca="false">IF($C40="Lease-koop",p_Afschr,IF($C40="Koop",IFERROR(INDEX('In gebruik'!$H:$H,MATCH($A40,'In gebruik'!$A:$A,0)),0),0))</f>
        <v>12</v>
      </c>
      <c r="K40" s="16"/>
      <c r="L40" s="15" t="n">
        <v>358180</v>
      </c>
      <c r="M40" s="6" t="n">
        <f aca="false">IF($C40="Lease-koop",D40+p_SlotJr,IF($C40="Koop",D40,0))</f>
        <v>2035</v>
      </c>
      <c r="N40" s="15" t="n">
        <f aca="false">IF($C40="Lease-koop",p_Lease,0)</f>
        <v>0</v>
      </c>
      <c r="O40" s="5" t="str">
        <f aca="false">IFERROR(INDEX('In gebruik'!$O:$O,MATCH($A40,'In gebruik'!$A:$A,0))&amp;"","")</f>
        <v/>
      </c>
      <c r="P40" s="4"/>
    </row>
    <row r="41" customFormat="false" ht="15" hidden="false" customHeight="false" outlineLevel="0" collapsed="false">
      <c r="A41" s="5" t="s">
        <v>79</v>
      </c>
      <c r="B41" s="4" t="str">
        <f aca="false">IFERROR(INDEX('In gebruik'!$D:$D,MATCH($A41,'In gebruik'!$A:$A,0))&amp;"","")</f>
        <v>Sport</v>
      </c>
      <c r="C41" s="5" t="s">
        <v>21</v>
      </c>
      <c r="D41" s="6" t="n">
        <v>2038</v>
      </c>
      <c r="E41" s="6" t="n">
        <f aca="false">IF($C41="Lease-koop",D41+p_Lev,IF($C41="Koop",D41+IFERROR(INDEX('In gebruik'!$H:$H,MATCH($A41,'In gebruik'!$A:$A,0)),0),0))</f>
        <v>2053</v>
      </c>
      <c r="F41" s="15" t="n">
        <f aca="false">IF($C41="Lease-koop",IF(F$14=$D41,p_Aanbet+p_Belet+p_Opbouw,0)+IF(F$14=$M41,p_Slot,0),IF(F$14=$D41,N($L41),0))</f>
        <v>0</v>
      </c>
      <c r="G41" s="15" t="n">
        <f aca="false">IF($C41="Lease-koop",IF(G$14=$D41,p_Aanbet+p_Belet+p_Opbouw,0)+IF(G$14=$M41,p_Slot,0),IF(G$14=$D41,N($L41),0))</f>
        <v>0</v>
      </c>
      <c r="H41" s="15" t="n">
        <f aca="false">IF($C41="Lease-koop",IF(H$14=$D41,p_Aanbet+p_Belet+p_Opbouw,0)+IF(H$14=$M41,p_Slot,0),IF(H$14=$D41,N($L41),0))</f>
        <v>0</v>
      </c>
      <c r="I41" s="15" t="n">
        <f aca="false">IF($C41="Lease-koop",IF(I$14=$D41,p_Aanbet+p_Belet+p_Opbouw,0)+IF(I$14=$M41,p_Slot,0),IF(I$14=$D41,N($L41),0))</f>
        <v>0</v>
      </c>
      <c r="J41" s="6" t="n">
        <f aca="false">IF($C41="Lease-koop",p_Afschr,IF($C41="Koop",IFERROR(INDEX('In gebruik'!$H:$H,MATCH($A41,'In gebruik'!$A:$A,0)),0),0))</f>
        <v>15</v>
      </c>
      <c r="K41" s="16"/>
      <c r="L41" s="15" t="n">
        <v>121968</v>
      </c>
      <c r="M41" s="6" t="n">
        <f aca="false">IF($C41="Lease-koop",D41+p_SlotJr,IF($C41="Koop",D41,0))</f>
        <v>2038</v>
      </c>
      <c r="N41" s="15" t="n">
        <f aca="false">IF($C41="Lease-koop",p_Lease,0)</f>
        <v>0</v>
      </c>
      <c r="O41" s="5" t="str">
        <f aca="false">IFERROR(INDEX('In gebruik'!$O:$O,MATCH($A41,'In gebruik'!$A:$A,0))&amp;"","")</f>
        <v/>
      </c>
      <c r="P41" s="4"/>
    </row>
    <row r="42" customFormat="false" ht="15" hidden="false" customHeight="false" outlineLevel="0" collapsed="false">
      <c r="A42" s="17" t="s">
        <v>105</v>
      </c>
      <c r="B42" s="18"/>
      <c r="C42" s="18"/>
      <c r="D42" s="18"/>
      <c r="E42" s="18"/>
      <c r="F42" s="10" t="n">
        <f aca="false">SUM(F15:F41)</f>
        <v>190000</v>
      </c>
      <c r="G42" s="10" t="n">
        <f aca="false">SUM(G15:G41)</f>
        <v>50000</v>
      </c>
      <c r="H42" s="10" t="n">
        <f aca="false">SUM(H15:H41)</f>
        <v>297000</v>
      </c>
      <c r="I42" s="10" t="n">
        <f aca="false">SUM(I15:I41)</f>
        <v>0</v>
      </c>
      <c r="J42" s="18"/>
      <c r="K42" s="18"/>
      <c r="L42" s="10" t="n">
        <f aca="false">SUM(L15:L41)</f>
        <v>2055208</v>
      </c>
      <c r="M42" s="18"/>
      <c r="N42" s="18"/>
      <c r="O42" s="18"/>
      <c r="P42" s="18"/>
    </row>
    <row r="44" customFormat="false" ht="15" hidden="false" customHeight="false" outlineLevel="0" collapsed="false">
      <c r="A44" s="9" t="s">
        <v>106</v>
      </c>
    </row>
    <row r="45" customFormat="false" ht="15" hidden="false" customHeight="false" outlineLevel="0" collapsed="false">
      <c r="A45" s="11" t="s">
        <v>131</v>
      </c>
    </row>
    <row r="46" customFormat="false" ht="15" hidden="false" customHeight="false" outlineLevel="0" collapsed="false">
      <c r="A46" s="11" t="s">
        <v>132</v>
      </c>
    </row>
    <row r="47" customFormat="false" ht="15" hidden="false" customHeight="false" outlineLevel="0" collapsed="false">
      <c r="A47" s="11" t="s">
        <v>133</v>
      </c>
    </row>
    <row r="48" customFormat="false" ht="15" hidden="false" customHeight="false" outlineLevel="0" collapsed="false">
      <c r="A48" s="11" t="s">
        <v>134</v>
      </c>
    </row>
  </sheetData>
  <autoFilter ref="A14:P41"/>
  <mergeCells count="1">
    <mergeCell ref="F13:I13"/>
  </mergeCells>
  <dataValidations count="1">
    <dataValidation allowBlank="true" errorStyle="stop" operator="between" showDropDown="false" showErrorMessage="false" showInputMessage="false" sqref="C15:C62" type="list">
      <formula1>"Koop,Lease-koop,Doorschuiven"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2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7.35" hidden="false" customHeight="false" outlineLevel="0" collapsed="false">
      <c r="A1" s="1" t="s">
        <v>135</v>
      </c>
    </row>
    <row r="4" customFormat="false" ht="4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8</v>
      </c>
      <c r="F4" s="3" t="s">
        <v>136</v>
      </c>
      <c r="G4" s="3" t="s">
        <v>12</v>
      </c>
    </row>
    <row r="5" customFormat="false" ht="15" hidden="false" customHeight="false" outlineLevel="0" collapsed="false">
      <c r="A5" s="5" t="s">
        <v>56</v>
      </c>
      <c r="B5" s="5"/>
      <c r="C5" s="5" t="s">
        <v>137</v>
      </c>
      <c r="D5" s="5" t="s">
        <v>41</v>
      </c>
      <c r="E5" s="6" t="n">
        <v>2014</v>
      </c>
      <c r="F5" s="6" t="n">
        <v>2026</v>
      </c>
      <c r="G5" s="5"/>
    </row>
    <row r="6" customFormat="false" ht="15" hidden="false" customHeight="false" outlineLevel="0" collapsed="false">
      <c r="A6" s="5" t="s">
        <v>69</v>
      </c>
      <c r="B6" s="5"/>
      <c r="C6" s="5" t="s">
        <v>138</v>
      </c>
      <c r="D6" s="5" t="s">
        <v>70</v>
      </c>
      <c r="E6" s="6" t="n">
        <v>2018</v>
      </c>
      <c r="F6" s="6" t="n">
        <v>2026</v>
      </c>
      <c r="G6" s="5"/>
    </row>
    <row r="7" customFormat="false" ht="15" hidden="false" customHeight="false" outlineLevel="0" collapsed="false">
      <c r="A7" s="5" t="s">
        <v>72</v>
      </c>
      <c r="B7" s="5"/>
      <c r="C7" s="5" t="s">
        <v>139</v>
      </c>
      <c r="D7" s="5" t="s">
        <v>73</v>
      </c>
      <c r="E7" s="6" t="n">
        <v>2013</v>
      </c>
      <c r="F7" s="6" t="n">
        <v>2026</v>
      </c>
      <c r="G7" s="5"/>
    </row>
    <row r="8" customFormat="false" ht="15" hidden="false" customHeight="false" outlineLevel="0" collapsed="false">
      <c r="A8" s="5" t="s">
        <v>99</v>
      </c>
      <c r="B8" s="5" t="n">
        <v>7205049</v>
      </c>
      <c r="C8" s="5" t="s">
        <v>140</v>
      </c>
      <c r="D8" s="5" t="s">
        <v>101</v>
      </c>
      <c r="E8" s="6" t="n">
        <v>2017</v>
      </c>
      <c r="F8" s="6" t="n">
        <v>2026</v>
      </c>
      <c r="G8" s="5"/>
    </row>
    <row r="9" customFormat="false" ht="15" hidden="false" customHeight="false" outlineLevel="0" collapsed="false">
      <c r="A9" s="5" t="s">
        <v>141</v>
      </c>
      <c r="B9" s="5"/>
      <c r="C9" s="5" t="s">
        <v>142</v>
      </c>
      <c r="D9" s="5" t="s">
        <v>33</v>
      </c>
      <c r="E9" s="6" t="n">
        <v>2007</v>
      </c>
      <c r="F9" s="6" t="n">
        <v>2026</v>
      </c>
      <c r="G9" s="5"/>
    </row>
    <row r="10" customFormat="false" ht="15" hidden="false" customHeight="false" outlineLevel="0" collapsed="false">
      <c r="A10" s="5" t="s">
        <v>143</v>
      </c>
      <c r="B10" s="5"/>
      <c r="C10" s="5" t="s">
        <v>144</v>
      </c>
      <c r="D10" s="5" t="s">
        <v>37</v>
      </c>
      <c r="E10" s="6" t="n">
        <v>2006</v>
      </c>
      <c r="F10" s="19"/>
      <c r="G10" s="5" t="s">
        <v>145</v>
      </c>
    </row>
    <row r="11" customFormat="false" ht="15" hidden="false" customHeight="false" outlineLevel="0" collapsed="false">
      <c r="A11" s="5" t="s">
        <v>146</v>
      </c>
      <c r="B11" s="5"/>
      <c r="C11" s="5" t="s">
        <v>147</v>
      </c>
      <c r="D11" s="5" t="s">
        <v>148</v>
      </c>
      <c r="E11" s="6" t="n">
        <v>2015</v>
      </c>
      <c r="F11" s="19"/>
      <c r="G11" s="5" t="s">
        <v>149</v>
      </c>
    </row>
    <row r="12" customFormat="false" ht="15" hidden="false" customHeight="false" outlineLevel="0" collapsed="false">
      <c r="A12" s="5" t="s">
        <v>150</v>
      </c>
      <c r="B12" s="5"/>
      <c r="C12" s="5" t="s">
        <v>151</v>
      </c>
      <c r="D12" s="5" t="s">
        <v>67</v>
      </c>
      <c r="E12" s="6" t="n">
        <v>2013</v>
      </c>
      <c r="F12" s="6" t="n">
        <v>2027</v>
      </c>
      <c r="G12" s="5"/>
    </row>
    <row r="13" customFormat="false" ht="15" hidden="false" customHeight="false" outlineLevel="0" collapsed="false">
      <c r="A13" s="5" t="s">
        <v>152</v>
      </c>
      <c r="B13" s="5"/>
      <c r="C13" s="5" t="s">
        <v>153</v>
      </c>
      <c r="D13" s="5" t="s">
        <v>77</v>
      </c>
      <c r="E13" s="6" t="n">
        <v>2013</v>
      </c>
      <c r="F13" s="6" t="n">
        <v>2025</v>
      </c>
      <c r="G13" s="5"/>
    </row>
    <row r="14" customFormat="false" ht="15" hidden="false" customHeight="false" outlineLevel="0" collapsed="false">
      <c r="A14" s="5" t="s">
        <v>154</v>
      </c>
      <c r="B14" s="5"/>
      <c r="C14" s="5" t="s">
        <v>155</v>
      </c>
      <c r="D14" s="5" t="s">
        <v>41</v>
      </c>
      <c r="E14" s="6" t="n">
        <v>2013</v>
      </c>
      <c r="F14" s="6" t="n">
        <v>2027</v>
      </c>
      <c r="G14" s="5"/>
    </row>
    <row r="15" customFormat="false" ht="15" hidden="false" customHeight="false" outlineLevel="0" collapsed="false">
      <c r="A15" s="5" t="s">
        <v>156</v>
      </c>
      <c r="B15" s="5"/>
      <c r="C15" s="5" t="s">
        <v>157</v>
      </c>
      <c r="D15" s="5" t="s">
        <v>45</v>
      </c>
      <c r="E15" s="6" t="n">
        <v>2013</v>
      </c>
      <c r="F15" s="19"/>
      <c r="G15" s="5" t="s">
        <v>158</v>
      </c>
    </row>
    <row r="17" customFormat="false" ht="15" hidden="false" customHeight="false" outlineLevel="0" collapsed="false">
      <c r="A17" s="11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2026-10-30T10:15:16Z</dcterms:created>
  <dc:creator>openpyxl</dc:creator>
  <dc:description/>
  <dc:language>en-US</dc:language>
  <cp:lastModifiedBy/>
  <dcterms:modified xsi:type="dcterms:W3CDTF">2026-10-30T10:15:16Z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
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Voertuigen 2026" sheetId="2" state="visible" r:id="rId4"/>
    <sheet name="Vervangingsinvesteringen" sheetId="3" state="visible" r:id="rId5"/>
    <sheet name="Buiten gebruik" sheetId="4" state="visible" r:id="rId6"/>
  </sheets>
  <definedNames>
    <definedName function="false" hidden="true" localSheetId="3" name="_xlnm._FilterDatabase" vbProcedure="false">'Buiten gebruik'!$A$4:$G$15</definedName>
    <definedName function="false" hidden="true" localSheetId="2" name="_xlnm._FilterDatabase" vbProcedure="false">Vervangingsinvesteringen!$A$4:$P$31</definedName>
    <definedName function="false" hidden="true" localSheetId="1" name="_xlnm._FilterDatabase" vbProcedure="false">'Voertuigen 2026'!$A$4:$Q$31</definedName>
    <definedName function="false" hidden="false" name="AB_Activa" vbProcedure="false">Dashboard!$C$11</definedName>
    <definedName function="false" hidden="false" name="AB_Datum" vbProcedure="false">Dashboard!$C$9</definedName>
    <definedName function="false" hidden="false" name="AB_DatumUit" vbProcedure="false">Dashboard!$C$13</definedName>
    <definedName function="false" hidden="false" name="AB_Kenteken" vbProcedure="false">Dashboard!$C$8</definedName>
    <definedName function="false" hidden="false" name="AB_Kosten" vbProcedure="false">Dashboard!$C$12</definedName>
    <definedName function="false" hidden="false" name="AB_Krediet" vbProcedure="false">Dashboard!$C$10</definedName>
    <definedName function="false" hidden="false" name="AB_Voertuig" vbProcedure="false">Dashboard!$C$7</definedName>
    <definedName function="false" hidden="false" name="DoorschuifNaar" vbProcedure="false">Dashboard!$D$16</definedName>
    <definedName function="false" hidden="false" name="DoorschuifVan" vbProcedure="false">Dashboard!$C$16</definedName>
    <definedName function="false" hidden="false" name="LopendJaar" vbProcedure="false">Dashboard!$C$3</definedName>
    <definedName function="false" hidden="false" name="p_Aanbet" vbProcedure="false">Vervangingsinvesteringen!$C$42</definedName>
    <definedName function="false" hidden="false" name="p_Afschr" vbProcedure="false">Vervangingsinvesteringen!$C$48</definedName>
    <definedName function="false" hidden="false" name="p_Belet" vbProcedure="false">Vervangingsinvesteringen!$C$43</definedName>
    <definedName function="false" hidden="false" name="p_Lease" vbProcedure="false">Vervangingsinvesteringen!$C$49</definedName>
    <definedName function="false" hidden="false" name="p_Lev" vbProcedure="false">Vervangingsinvesteringen!$C$47</definedName>
    <definedName function="false" hidden="false" name="p_Opbouw" vbProcedure="false">Vervangingsinvesteringen!$C$44</definedName>
    <definedName function="false" hidden="false" name="p_Slot" vbProcedure="false">Vervangingsinvesteringen!$C$45</definedName>
    <definedName function="false" hidden="false" name="p_SlotJr" vbProcedure="false">Vervangingsinvesteringen!$C$46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<sst xmlns="http://schemas.openxmlformats.org/spreadsheetml/2006/main" count="381" uniqueCount="235">
  <si>
    <t xml:space="preserve">Dashboard wagenpark</t>
  </si>
  <si>
    <t xml:space="preserve">keuzelijst</t>
  </si>
  <si>
    <t xml:space="preserve">Lopend jaar</t>
  </si>
  <si>
    <t xml:space="preserve">Wordt bij openen in een nieuw jaar automatisch opgehoogd (jaarovergang).</t>
  </si>
  <si>
    <t xml:space="preserve">Aanschaf bevestigen</t>
  </si>
  <si>
    <t xml:space="preserve">Voertuig (te vervangen)</t>
  </si>
  <si>
    <t xml:space="preserve">Kenteken nieuw voertuig</t>
  </si>
  <si>
    <t xml:space="preserve">Datum ingebruikname</t>
  </si>
  <si>
    <t xml:space="preserve">Kredietnummer (optioneel)</t>
  </si>
  <si>
    <t xml:space="preserve">Activakaart (optioneel)</t>
  </si>
  <si>
    <t xml:space="preserve">Werkelijke aanschafkosten, koop (optioneel)</t>
  </si>
  <si>
    <t xml:space="preserve">Datum buiten gebruik oud (leeg = datum ingebruikname)</t>
  </si>
  <si>
    <t xml:space="preserve">Doorschuifregel</t>
  </si>
  <si>
    <t xml:space="preserve">Oud voertuig van ... wordt ... (bij aanschaf)</t>
  </si>
  <si>
    <t xml:space="preserve">V01</t>
  </si>
  <si>
    <t xml:space="preserve">V03</t>
  </si>
  <si>
    <t xml:space="preserve">Stand</t>
  </si>
  <si>
    <t xml:space="preserve">Voertuigen in gebruik</t>
  </si>
  <si>
    <t xml:space="preserve">Te vervangen dit jaar</t>
  </si>
  <si>
    <t xml:space="preserve">Buiten gebruik</t>
  </si>
  <si>
    <t xml:space="preserve">Investeringen volgend jaar</t>
  </si>
  <si>
    <t xml:space="preserve">Controle</t>
  </si>
  <si>
    <t xml:space="preserve">Aantal</t>
  </si>
  <si>
    <t xml:space="preserve">Status</t>
  </si>
  <si>
    <t xml:space="preserve">Jaarovergang bijgewerkt (lopend jaar = huidig jaar)</t>
  </si>
  <si>
    <t xml:space="preserve">In gebruik: kenteken ontbreekt</t>
  </si>
  <si>
    <t xml:space="preserve">In gebruik: kredietnummer ontbreekt</t>
  </si>
  <si>
    <t xml:space="preserve">In gebruik: activakaart ontbreekt</t>
  </si>
  <si>
    <t xml:space="preserve">In gebruik: aanschafkosten ontbreken (koop)</t>
  </si>
  <si>
    <t xml:space="preserve">In gebruik: lease-koop bedragen ontbreken</t>
  </si>
  <si>
    <t xml:space="preserve">In gebruik: levensduur verstreken</t>
  </si>
  <si>
    <t xml:space="preserve">In gebruik: V-nummer dubbel</t>
  </si>
  <si>
    <t xml:space="preserve">Te vervangen dit jaar: nog niet bevestigd</t>
  </si>
  <si>
    <t xml:space="preserve">Vervangingsinvesteringen: activanummer ontbreekt</t>
  </si>
  <si>
    <t xml:space="preserve">Vervangingsinvesteringen: koopprijs ontbreekt</t>
  </si>
  <si>
    <t xml:space="preserve">Buiten gebruik: datum/jaar ontbreekt</t>
  </si>
  <si>
    <t xml:space="preserve">Werkwijze</t>
  </si>
  <si>
    <t xml:space="preserve">1. Kies bij 'Voertuig' een voertuig uit de lijst (alleen voertuigen die dit jaar vervangen worden).</t>
  </si>
  <si>
    <t xml:space="preserve">2. Vul kenteken en datum ingebruikname in; de rest is optioneel. Klik op 'Aanschaf bevestigen'.</t>
  </si>
  <si>
    <t xml:space="preserve">3. Het nieuwe voertuig krijgt status 'In gebruik'; het oude voertuig (zelfde V-nummer) gaat naar 'Buiten gebruik'.</t>
  </si>
  <si>
    <t xml:space="preserve">   Uitzondering V01: het oude V01-voertuig wordt V03; het oude V03-voertuig gaat naar 'Buiten gebruik'.</t>
  </si>
  <si>
    <t xml:space="preserve">4. Jaarovergang gaat vanzelf bij openen op of na 1 januari. Knop 'Jaarovergang nu' alleen gebruiken als dat niet is gebeurd.</t>
  </si>
  <si>
    <t xml:space="preserve">Na elke actie: bestand opslaan. Ongedaan maken kan niet: sluit dan zonder op te slaan.</t>
  </si>
  <si>
    <t xml:space="preserve">Voertuigen 2026</t>
  </si>
  <si>
    <t xml:space="preserve">V-nummer</t>
  </si>
  <si>
    <t xml:space="preserve">Kredietnr.</t>
  </si>
  <si>
    <t xml:space="preserve">Kenteken</t>
  </si>
  <si>
    <t xml:space="preserve">Gebruiksdoel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</si>
  <si>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</si>
  <si>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</si>
  <si>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</si>
  <si>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</si>
  <si>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</si>
  <si>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Te activeren in jaar</t>
  </si>
  <si>
    <t xml:space="preserve">Activakaart</t>
  </si>
  <si>
    <t xml:space="preserve">Aanbetaling (raming)</t>
  </si>
  <si>
    <t xml:space="preserve">Bijkomende kosten (raming)</t>
  </si>
  <si>
    <t xml:space="preserve">Slotbetaling (raming)</t>
  </si>
  <si>
    <t xml:space="preserve">Exploitatienr.</t>
  </si>
  <si>
    <t xml:space="preserve">Leasesom 1 jaar</t>
  </si>
  <si>
    <t xml:space="preserve">V01-01</t>
  </si>
  <si>
    <t xml:space="preserve">26-BXG-9</t>
  </si>
  <si>
    <t xml:space="preserve">Gladheidsbestrijding</t>
  </si>
  <si>
    <t xml:space="preserve">Koop</t>
  </si>
  <si>
    <t xml:space="preserve">Herman v Beerendonk</t>
  </si>
  <si>
    <t xml:space="preserve">In gebruik</t>
  </si>
  <si>
    <t xml:space="preserve">V02-01</t>
  </si>
  <si>
    <t xml:space="preserve">06-BVN-2</t>
  </si>
  <si>
    <t xml:space="preserve">Riolering</t>
  </si>
  <si>
    <t xml:space="preserve">Lau/William</t>
  </si>
  <si>
    <t xml:space="preserve">V03-01</t>
  </si>
  <si>
    <t xml:space="preserve">BZ-TZ-45</t>
  </si>
  <si>
    <t xml:space="preserve">STROOIEN</t>
  </si>
  <si>
    <t xml:space="preserve">V04-01</t>
  </si>
  <si>
    <t xml:space="preserve">V-88-FPL</t>
  </si>
  <si>
    <t xml:space="preserve">Openbare ruimte (straatwerk)</t>
  </si>
  <si>
    <t xml:space="preserve">Marnick/Henry</t>
  </si>
  <si>
    <t xml:space="preserve">V05-01</t>
  </si>
  <si>
    <t xml:space="preserve">H-872-GK</t>
  </si>
  <si>
    <t xml:space="preserve">Kantoor</t>
  </si>
  <si>
    <t xml:space="preserve">Jos / Martin</t>
  </si>
  <si>
    <t xml:space="preserve">V06-01</t>
  </si>
  <si>
    <t xml:space="preserve">V-70-NRS</t>
  </si>
  <si>
    <t xml:space="preserve">Cultuur / Bossen</t>
  </si>
  <si>
    <t xml:space="preserve">Lease-koop</t>
  </si>
  <si>
    <t xml:space="preserve">Jilles Eikelenboom</t>
  </si>
  <si>
    <t xml:space="preserve">V07-01</t>
  </si>
  <si>
    <t xml:space="preserve">VG-092-L</t>
  </si>
  <si>
    <t xml:space="preserve">Algemene dienst</t>
  </si>
  <si>
    <t xml:space="preserve">Nicolai v/d Heijden</t>
  </si>
  <si>
    <t xml:space="preserve">V08-01</t>
  </si>
  <si>
    <t xml:space="preserve">V-72-NRS</t>
  </si>
  <si>
    <t xml:space="preserve">Jordy / Robbie</t>
  </si>
  <si>
    <t xml:space="preserve">V09-01</t>
  </si>
  <si>
    <t xml:space="preserve">Z-684-FB</t>
  </si>
  <si>
    <t xml:space="preserve">Marco</t>
  </si>
  <si>
    <t xml:space="preserve">V10-01</t>
  </si>
  <si>
    <t xml:space="preserve">V-96-LPT</t>
  </si>
  <si>
    <t xml:space="preserve">Storingsdienst</t>
  </si>
  <si>
    <t xml:space="preserve">V11-01</t>
  </si>
  <si>
    <t xml:space="preserve">Antoon Kemps</t>
  </si>
  <si>
    <t xml:space="preserve">V12-01</t>
  </si>
  <si>
    <t xml:space="preserve">V-05-JGK</t>
  </si>
  <si>
    <t xml:space="preserve">Groen</t>
  </si>
  <si>
    <t xml:space="preserve">Addry v Oorschot</t>
  </si>
  <si>
    <t xml:space="preserve">V13-01</t>
  </si>
  <si>
    <t xml:space="preserve">V-708-FT</t>
  </si>
  <si>
    <t xml:space="preserve">Wil van Dal</t>
  </si>
  <si>
    <t xml:space="preserve">V14-01</t>
  </si>
  <si>
    <t xml:space="preserve">V-603-LV</t>
  </si>
  <si>
    <t xml:space="preserve">Speeltoestellen / groen</t>
  </si>
  <si>
    <t xml:space="preserve">Ruud Liebrechts</t>
  </si>
  <si>
    <t xml:space="preserve">V15-01</t>
  </si>
  <si>
    <t xml:space="preserve">Garage</t>
  </si>
  <si>
    <t xml:space="preserve">Pascal Jonkman</t>
  </si>
  <si>
    <t xml:space="preserve">V16-01</t>
  </si>
  <si>
    <t xml:space="preserve">Sport</t>
  </si>
  <si>
    <t xml:space="preserve">Mark Oerlemans</t>
  </si>
  <si>
    <t xml:space="preserve">V17-01</t>
  </si>
  <si>
    <t xml:space="preserve">V-73-NRS</t>
  </si>
  <si>
    <t xml:space="preserve">Gebouwen (timmerman)</t>
  </si>
  <si>
    <t xml:space="preserve">Arie v Dijk</t>
  </si>
  <si>
    <t xml:space="preserve">V18-01</t>
  </si>
  <si>
    <t xml:space="preserve">T-63-FGV</t>
  </si>
  <si>
    <t xml:space="preserve">V19-01</t>
  </si>
  <si>
    <t xml:space="preserve">TBK-67-P</t>
  </si>
  <si>
    <t xml:space="preserve">Divers</t>
  </si>
  <si>
    <t xml:space="preserve">V20-01</t>
  </si>
  <si>
    <t xml:space="preserve">TDT-42-X</t>
  </si>
  <si>
    <t xml:space="preserve">V21-01</t>
  </si>
  <si>
    <t xml:space="preserve">T-80-GGN</t>
  </si>
  <si>
    <t xml:space="preserve">V24-01</t>
  </si>
  <si>
    <t xml:space="preserve">geen</t>
  </si>
  <si>
    <t xml:space="preserve">Gemeentewerf</t>
  </si>
  <si>
    <t xml:space="preserve">V25-01</t>
  </si>
  <si>
    <t xml:space="preserve">V26-01</t>
  </si>
  <si>
    <t xml:space="preserve">RG-730-S</t>
  </si>
  <si>
    <t xml:space="preserve">Algemeen (dienstauto)</t>
  </si>
  <si>
    <t xml:space="preserve">Dienstauto</t>
  </si>
  <si>
    <t xml:space="preserve">V27-01</t>
  </si>
  <si>
    <t xml:space="preserve">PX-814-X</t>
  </si>
  <si>
    <t xml:space="preserve">Handhaving</t>
  </si>
  <si>
    <t xml:space="preserve">V28-01</t>
  </si>
  <si>
    <t xml:space="preserve">KGN-02-Z</t>
  </si>
  <si>
    <t xml:space="preserve">Veiligheid</t>
  </si>
  <si>
    <t xml:space="preserve">BOA</t>
  </si>
  <si>
    <t xml:space="preserve">V29-01</t>
  </si>
  <si>
    <t xml:space="preserve">X-385-DH</t>
  </si>
  <si>
    <t xml:space="preserve">Totaal in gebruik</t>
  </si>
  <si>
    <t xml:space="preserve">Totaal te vervangen</t>
  </si>
  <si>
    <t xml:space="preserve">Toelichting</t>
  </si>
  <si>
    <t xml:space="preserve">Bovenaan: voertuigen in gebruik. Daaronder (oranje): te vervangen in het lopende jaar, overgezet bij de jaarovergang.</t>
  </si>
  <si>
    <t xml:space="preserve">Koop: kolom I = werkelijk betaald. Lease-koop: kolom J en L t/m N, kolom I blijft leeg. Ramingen overschrijven met werkelijke uitgave.</t>
  </si>
  <si>
    <t xml:space="preserve">Muteren via het Dashboard: 'Aanschaf bevestigen'. Nieuw V-nummer: regel invoegen boven de lege regel onder de lijst.</t>
  </si>
  <si>
    <t xml:space="preserve">Vervangingsinvesteringen</t>
  </si>
  <si>
    <t xml:space="preserve">Regime</t>
  </si>
  <si>
    <t xml:space="preserve">Einde levensduur</t>
  </si>
  <si>
    <t xml:space="preserve">Afschrijftermijn</t>
  </si>
  <si>
    <t xml:space="preserve">Activanummer</t>
  </si>
  <si>
    <t xml:space="preserve">Te activeren</t>
  </si>
  <si>
    <t xml:space="preserve">Jaar activering</t>
  </si>
  <si>
    <t xml:space="preserve">Jaarlease (info)</t>
  </si>
  <si>
    <t xml:space="preserve">Opmerking</t>
  </si>
  <si>
    <t xml:space="preserve">V07-02</t>
  </si>
  <si>
    <t xml:space="preserve">V13-02</t>
  </si>
  <si>
    <t xml:space="preserve">V14-02</t>
  </si>
  <si>
    <t xml:space="preserve">V19-02</t>
  </si>
  <si>
    <t xml:space="preserve">V26-02</t>
  </si>
  <si>
    <t xml:space="preserve">V27-02</t>
  </si>
  <si>
    <t xml:space="preserve">V25-02</t>
  </si>
  <si>
    <t xml:space="preserve">Uitgesteld naar 2028.</t>
  </si>
  <si>
    <t xml:space="preserve">V05-02</t>
  </si>
  <si>
    <t xml:space="preserve">V20-02</t>
  </si>
  <si>
    <t xml:space="preserve">V29-02</t>
  </si>
  <si>
    <t xml:space="preserve">V01-02</t>
  </si>
  <si>
    <t xml:space="preserve">V03-02</t>
  </si>
  <si>
    <t xml:space="preserve">Doorschuiven</t>
  </si>
  <si>
    <t xml:space="preserve">Doorschuiven: wordt het oude V01-voertuig.</t>
  </si>
  <si>
    <t xml:space="preserve">V04-02</t>
  </si>
  <si>
    <t xml:space="preserve">V09-02</t>
  </si>
  <si>
    <t xml:space="preserve">V12-02</t>
  </si>
  <si>
    <t xml:space="preserve">V10-02</t>
  </si>
  <si>
    <t xml:space="preserve">V24-02</t>
  </si>
  <si>
    <t xml:space="preserve">V06-02</t>
  </si>
  <si>
    <t xml:space="preserve">V08-02</t>
  </si>
  <si>
    <t xml:space="preserve">V11-02</t>
  </si>
  <si>
    <t xml:space="preserve">V15-02</t>
  </si>
  <si>
    <t xml:space="preserve">V16-02</t>
  </si>
  <si>
    <t xml:space="preserve">V17-02</t>
  </si>
  <si>
    <t xml:space="preserve">V21-02</t>
  </si>
  <si>
    <t xml:space="preserve">V28-02</t>
  </si>
  <si>
    <t xml:space="preserve">V02-02</t>
  </si>
  <si>
    <t xml:space="preserve">V18-02</t>
  </si>
  <si>
    <t xml:space="preserve">Totaal</t>
  </si>
  <si>
    <t xml:space="preserve">Eén regel per V-nummer: het eerstvolgende voertuig. Volgorde: aanschafjaar. Geel = activanummer nog invullen.</t>
  </si>
  <si>
    <t xml:space="preserve">Te activeren: lease-koop = aanbetaling + belettering + opbouw + slotbetaling; koop = koopprijs (invullen).</t>
  </si>
  <si>
    <t xml:space="preserve">Uitgaven per jaar: lease-koop aanbetaling, belettering en opbouw in aanschafjaar, slotbetaling in jaar activering; koop in aanschafjaar.</t>
  </si>
  <si>
    <t xml:space="preserve">Jaarovergang: de regels van het nieuwe jaar gaan naar 'Voertuigen &lt;jaar&gt;'; hier komt het volgende voertuig voor terug.</t>
  </si>
  <si>
    <t xml:space="preserve">Standaardbedragen lease-koop</t>
  </si>
  <si>
    <t xml:space="preserve">Aanbetaling</t>
  </si>
  <si>
    <t xml:space="preserve">Belettering</t>
  </si>
  <si>
    <t xml:space="preserve">Opbouw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</si>
  <si>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</si>
  <si>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</si>
  <si>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</si>
  <si>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</si>
  <si>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Voertuigen buiten gebruik</t>
  </si>
  <si>
    <t xml:space="preserve">Datum buiten gebruik</t>
  </si>
  <si>
    <t xml:space="preserve">V11</t>
  </si>
  <si>
    <t xml:space="preserve">VH-073-L</t>
  </si>
  <si>
    <t xml:space="preserve">V15</t>
  </si>
  <si>
    <t xml:space="preserve">V-138-DP</t>
  </si>
  <si>
    <t xml:space="preserve">V16</t>
  </si>
  <si>
    <t xml:space="preserve">VG-093-L</t>
  </si>
  <si>
    <t xml:space="preserve">V28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</si>
  <si>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</si>
  <si>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</si>
  <si>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</si>
  <si>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</si>
  <si>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</si>
  <si>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6971005/434335/M05SZNF</t>
  </si>
  <si>
    <t xml:space="preserve">V95</t>
  </si>
  <si>
    <t xml:space="preserve">TFN-07-R</t>
  </si>
  <si>
    <t xml:space="preserve">Straatreiniging</t>
  </si>
  <si>
    <t xml:space="preserve">6210601/434335</t>
  </si>
  <si>
    <t xml:space="preserve">V96</t>
  </si>
  <si>
    <t xml:space="preserve">VG-683-L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</si>
  <si>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</si>
  <si>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</si>
  <si>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</si>
  <si>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</si>
  <si>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</si>
  <si>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</si>
  <si>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6210102/434335</t>
  </si>
  <si>
    <t xml:space="preserve">Oude voertuigen (zonder volgnummer) hebben alleen een jaar. Geel = onbekend, aanvullen.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</si>
</sst>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\-mm\-yyyy"/>
    <numFmt numFmtId="167" formatCode="&quot;€ &quot;#,##0;&quot;-€ &quot;#,##0;\-"/>
    <numFmt numFmtId="168" formatCode="0;\-0;&quot;&quot;"/>
    <numFmt numFmtId="169" formatCode="&quot;Uitgaven &quot;0"/>
    <numFmt numFmtId="170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true" outlineLevel="0" max="8" min="8" style="0" width="13"/>
  </cols>
  <sheetData>
    <row r="1" customFormat="false" ht="17.35" hidden="false" customHeight="false" outlineLevel="0" collapsed="false">
      <c r="B1" s="1" t="s">
        <v>0</v>
      </c>
      <c r="H1" s="2" t="s">
        <v>1</v>
      </c>
    </row>
    <row r="3" customFormat="false" ht="15" hidden="false" customHeight="false" outlineLevel="0" collapsed="false">
      <c r="B3" s="3" t="s">
        <v>2</v>
      </c>
      <c r="C3" s="4" t="n">
        <v>2026</v>
      </c>
    </row>
    <row r="4" customFormat="false" ht="15" hidden="false" customHeight="false" outlineLevel="0" collapsed="false">
      <c r="B4" s="5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2" t="s">
        <v>5</v>
      </c>
      <c r="C7" s="6"/>
    </row>
    <row r="8" customFormat="false" ht="15" hidden="false" customHeight="false" outlineLevel="0" collapsed="false">
      <c r="B8" s="2" t="s">
        <v>6</v>
      </c>
      <c r="C8" s="6"/>
    </row>
    <row r="9" customFormat="false" ht="15" hidden="false" customHeight="false" outlineLevel="0" collapsed="false">
      <c r="B9" s="2" t="s">
        <v>7</v>
      </c>
      <c r="C9" s="7"/>
    </row>
    <row r="10" customFormat="false" ht="15" hidden="false" customHeight="false" outlineLevel="0" collapsed="false">
      <c r="B10" s="2" t="s">
        <v>8</v>
      </c>
      <c r="C10" s="6"/>
    </row>
    <row r="11" customFormat="false" ht="15" hidden="false" customHeight="false" outlineLevel="0" collapsed="false">
      <c r="B11" s="2" t="s">
        <v>9</v>
      </c>
      <c r="C11" s="6"/>
    </row>
    <row r="12" customFormat="false" ht="15" hidden="false" customHeight="false" outlineLevel="0" collapsed="false">
      <c r="B12" s="2" t="s">
        <v>10</v>
      </c>
      <c r="C12" s="6"/>
    </row>
    <row r="13" customFormat="false" ht="15" hidden="false" customHeight="false" outlineLevel="0" collapsed="false">
      <c r="B13" s="2" t="s">
        <v>11</v>
      </c>
      <c r="C13" s="7"/>
    </row>
    <row r="15" customFormat="false" ht="15" hidden="false" customHeight="false" outlineLevel="0" collapsed="false">
      <c r="B15" s="3" t="s">
        <v>12</v>
      </c>
    </row>
    <row r="16" customFormat="false" ht="15" hidden="false" customHeight="false" outlineLevel="0" collapsed="false">
      <c r="B16" s="2" t="s">
        <v>13</v>
      </c>
      <c r="C16" s="8" t="s">
        <v>14</v>
      </c>
      <c r="D16" s="8" t="s">
        <v>15</v>
      </c>
    </row>
    <row r="18" customFormat="false" ht="15" hidden="false" customHeight="false" outlineLevel="0" collapsed="false">
      <c r="B18" s="3" t="s">
        <v>16</v>
      </c>
    </row>
    <row r="19" customFormat="false" ht="15" hidden="false" customHeight="false" outlineLevel="0" collapsed="false">
      <c r="B19" s="2" t="s">
        <v>17</v>
      </c>
      <c r="C19" s="9" t="n">
        <f aca="false">COUNTIF('Voertuigen 2026'!$Q:$Q,"In gebruik")</f>
        <v>27</v>
      </c>
    </row>
    <row r="20" customFormat="false" ht="15" hidden="false" customHeight="false" outlineLevel="0" collapsed="false">
      <c r="B20" s="2" t="s">
        <v>18</v>
      </c>
      <c r="C20" s="9" t="n">
        <f aca="false">COUNTIF('Voertuigen 2026'!$Q:$Q,"Te vervangen*")</f>
        <v>0</v>
      </c>
    </row>
    <row r="21" customFormat="false" ht="15" hidden="false" customHeight="false" outlineLevel="0" collapsed="false">
      <c r="B21" s="2" t="s">
        <v>19</v>
      </c>
      <c r="C21" s="9" t="n">
        <f aca="false">COUNTIF('Buiten gebruik'!$A$5:$A$500,"V*")</f>
        <v>11</v>
      </c>
    </row>
    <row r="22" customFormat="false" ht="15" hidden="false" customHeight="false" outlineLevel="0" collapsed="false">
      <c r="B22" s="2" t="s">
        <v>20</v>
      </c>
      <c r="C22" s="10" t="n">
        <f aca="false">SUMIF(Vervangingsinvesteringen!$A$5:$A$300,"V*",Vervangingsinvesteringen!$F$5:$F$300)</f>
        <v>190000</v>
      </c>
    </row>
    <row r="24" customFormat="false" ht="15" hidden="false" customHeight="false" outlineLevel="0" collapsed="false">
      <c r="B24" s="3" t="s">
        <v>21</v>
      </c>
      <c r="C24" s="3" t="s">
        <v>22</v>
      </c>
      <c r="D24" s="3" t="s">
        <v>23</v>
      </c>
    </row>
    <row r="25" customFormat="false" ht="15" hidden="false" customHeight="false" outlineLevel="0" collapsed="false">
      <c r="B25" s="2" t="s">
        <v>24</v>
      </c>
      <c r="C25" s="9" t="n">
        <f aca="true">IF(LopendJaar=YEAR(TODAY()),0,1)</f>
        <v>0</v>
      </c>
      <c r="D25" s="8" t="str">
        <f aca="false">IF(C25=0,"OK","Actie")</f>
        <v>OK</v>
      </c>
    </row>
    <row r="26" customFormat="false" ht="15" hidden="false" customHeight="false" outlineLevel="0" collapsed="false">
      <c r="B26" s="2" t="s">
        <v>25</v>
      </c>
      <c r="C26" s="9" t="n">
        <f aca="false">COUNTIFS('Voertuigen 2026'!$Q$5:$Q$300,"In gebruik",'Voertuigen 2026'!$C$5:$C$300,"")+COUNTIFS('Voertuigen 2026'!$Q$5:$Q$300,"In gebruik",'Voertuigen 2026'!$C$5:$C$300,"n.n.b.")</f>
        <v>3</v>
      </c>
      <c r="D26" s="8" t="str">
        <f aca="false">IF(C26=0,"OK","Actie")</f>
        <v>Actie</v>
      </c>
    </row>
    <row r="27" customFormat="false" ht="15" hidden="false" customHeight="false" outlineLevel="0" collapsed="false">
      <c r="B27" s="2" t="s">
        <v>26</v>
      </c>
      <c r="C27" s="9" t="n">
        <f aca="false">COUNTIFS('Voertuigen 2026'!$Q$5:$Q$300,"In gebruik",'Voertuigen 2026'!$B$5:$B$300,"")+COUNTIFS('Voertuigen 2026'!$Q$5:$Q$300,"In gebruik",'Voertuigen 2026'!$B$5:$B$300,"n.n.b.")</f>
        <v>4</v>
      </c>
      <c r="D27" s="8" t="str">
        <f aca="false">IF(C27=0,"OK","Actie")</f>
        <v>Actie</v>
      </c>
    </row>
    <row r="28" customFormat="false" ht="15" hidden="false" customHeight="false" outlineLevel="0" collapsed="false">
      <c r="B28" s="2" t="s">
        <v>27</v>
      </c>
      <c r="C28" s="9" t="n">
        <f aca="false">COUNTIFS('Voertuigen 2026'!$Q$5:$Q$300,"In gebruik",'Voertuigen 2026'!$K$5:$K$300,"")+COUNTIFS('Voertuigen 2026'!$Q$5:$Q$300,"In gebruik",'Voertuigen 2026'!$K$5:$K$300,"n.n.b.")</f>
        <v>11</v>
      </c>
      <c r="D28" s="8" t="str">
        <f aca="false">IF(C28=0,"OK","Actie")</f>
        <v>Actie</v>
      </c>
    </row>
    <row r="29" customFormat="false" ht="15" hidden="false" customHeight="false" outlineLevel="0" collapsed="false">
      <c r="B29" s="2" t="s">
        <v>28</v>
      </c>
      <c r="C29" s="9" t="n">
        <f aca="false">COUNTIFS('Voertuigen 2026'!$Q$5:$Q$300,"In gebruik",'Voertuigen 2026'!$E$5:$E$300,"Koop",'Voertuigen 2026'!$I$5:$I$300,"")</f>
        <v>1</v>
      </c>
      <c r="D29" s="8" t="str">
        <f aca="false">IF(C29=0,"OK","Actie")</f>
        <v>Actie</v>
      </c>
    </row>
    <row r="30" customFormat="false" ht="15" hidden="false" customHeight="false" outlineLevel="0" collapsed="false">
      <c r="B30" s="2" t="s">
        <v>29</v>
      </c>
      <c r="C30" s="9" t="n">
        <f aca="false">COUNTIFS('Voertuigen 2026'!$Q$5:$Q$300,"In gebruik",'Voertuigen 2026'!$E$5:$E$300,"Lease-koop",'Voertuigen 2026'!$L$5:$L$300,"")+COUNTIFS('Voertuigen 2026'!$Q$5:$Q$300,"In gebruik",'Voertuigen 2026'!$E$5:$E$300,"Lease-koop",'Voertuigen 2026'!$N$5:$N$300,"")</f>
        <v>0</v>
      </c>
      <c r="D30" s="8" t="str">
        <f aca="false">IF(C30=0,"OK","Actie")</f>
        <v>OK</v>
      </c>
    </row>
    <row r="31" customFormat="false" ht="15" hidden="false" customHeight="false" outlineLevel="0" collapsed="false">
      <c r="B31" s="2" t="s">
        <v>30</v>
      </c>
      <c r="C31" s="9" t="n">
        <f aca="false">SUMPRODUCT(('Voertuigen 2026'!$Q$5:$Q$300="In gebruik")*('Voertuigen 2026'!$H$5:$H$300&gt;0)*('Voertuigen 2026'!$G$5:$G$300+'Voertuigen 2026'!$H$5:$H$300&lt;=LopendJaar))</f>
        <v>6</v>
      </c>
      <c r="D31" s="8" t="str">
        <f aca="false">IF(C31=0,"OK","Actie")</f>
        <v>Actie</v>
      </c>
    </row>
    <row r="32" customFormat="false" ht="15" hidden="false" customHeight="false" outlineLevel="0" collapsed="false">
      <c r="B32" s="2" t="s">
        <v>31</v>
      </c>
      <c r="C32" s="9" t="n">
        <f aca="false">SUMPRODUCT(('Voertuigen 2026'!$Q$5:$Q$300="In gebruik")*(COUNTIFS('Voertuigen 2026'!$A$5:$A$300,'Voertuigen 2026'!$A$5:$A$300,'Voertuigen 2026'!$Q$5:$Q$300,"In gebruik")&gt;1))</f>
        <v>0</v>
      </c>
      <c r="D32" s="8" t="str">
        <f aca="false">IF(C32=0,"OK","Actie")</f>
        <v>OK</v>
      </c>
    </row>
    <row r="33" customFormat="false" ht="15" hidden="false" customHeight="false" outlineLevel="0" collapsed="false">
      <c r="B33" s="2" t="s">
        <v>32</v>
      </c>
      <c r="C33" s="9" t="n">
        <f aca="false">COUNTIF('Voertuigen 2026'!$Q$5:$Q$300,"Te vervangen*")</f>
        <v>0</v>
      </c>
      <c r="D33" s="8" t="str">
        <f aca="false">IF(C33=0,"OK","Actie")</f>
        <v>OK</v>
      </c>
    </row>
    <row r="34" customFormat="false" ht="15" hidden="false" customHeight="false" outlineLevel="0" collapsed="false">
      <c r="B34" s="2" t="s">
        <v>33</v>
      </c>
      <c r="C34" s="9" t="n">
        <f aca="false">COUNTIFS(Vervangingsinvesteringen!$A$5:$A$300,"V*",Vervangingsinvesteringen!$C$5:$C$300,"&lt;&gt;Doorschuiven",Vervangingsinvesteringen!$K$5:$K$300,"")</f>
        <v>26</v>
      </c>
      <c r="D34" s="8" t="str">
        <f aca="false">IF(C34=0,"OK","Actie")</f>
        <v>Actie</v>
      </c>
    </row>
    <row r="35" customFormat="false" ht="15" hidden="false" customHeight="false" outlineLevel="0" collapsed="false">
      <c r="B35" s="2" t="s">
        <v>34</v>
      </c>
      <c r="C35" s="9" t="n">
        <f aca="false">COUNTIFS(Vervangingsinvesteringen!$C$5:$C$300,"Koop",Vervangingsinvesteringen!$L$5:$L$300,"")</f>
        <v>0</v>
      </c>
      <c r="D35" s="8" t="str">
        <f aca="false">IF(C35=0,"OK","Actie")</f>
        <v>OK</v>
      </c>
    </row>
    <row r="36" customFormat="false" ht="15" hidden="false" customHeight="false" outlineLevel="0" collapsed="false">
      <c r="B36" s="2" t="s">
        <v>35</v>
      </c>
      <c r="C36" s="9" t="n">
        <f aca="false">COUNTIFS('Buiten gebruik'!$A$5:$A$300,"V*",'Buiten gebruik'!$F$5:$F$300,"")</f>
        <v>3</v>
      </c>
      <c r="D36" s="8" t="str">
        <f aca="false">IF(C36=0,"OK","Actie")</f>
        <v>Actie</v>
      </c>
    </row>
    <row r="38" customFormat="false" ht="15" hidden="false" customHeight="false" outlineLevel="0" collapsed="false">
      <c r="B38" s="3" t="s">
        <v>36</v>
      </c>
    </row>
    <row r="39" customFormat="false" ht="15" hidden="false" customHeight="false" outlineLevel="0" collapsed="false">
      <c r="B39" s="5" t="s">
        <v>37</v>
      </c>
    </row>
    <row r="40" customFormat="false" ht="15" hidden="false" customHeight="false" outlineLevel="0" collapsed="false">
      <c r="B40" s="5" t="s">
        <v>38</v>
      </c>
    </row>
    <row r="41" customFormat="false" ht="15" hidden="false" customHeight="false" outlineLevel="0" collapsed="false">
      <c r="B41" s="5" t="s">
        <v>39</v>
      </c>
    </row>
    <row r="42" customFormat="false" ht="15" hidden="false" customHeight="false" outlineLevel="0" collapsed="false">
      <c r="B42" s="5" t="s">
        <v>40</v>
      </c>
    </row>
    <row r="43" customFormat="false" ht="15" hidden="false" customHeight="false" outlineLevel="0" collapsed="false">
      <c r="B43" s="5" t="s">
        <v>41</v>
      </c>
    </row>
    <row r="44" customFormat="false" ht="15" hidden="false" customHeight="false" outlineLevel="0" collapsed="false">
      <c r="B44" s="5" t="s">
        <v>42</v>
      </c>
    </row>
  </sheetData>
  <conditionalFormatting sqref="D25:D36">
    <cfRule type="expression" priority="2" aboveAverage="0" equalAverage="0" bottom="0" percent="0" rank="0" text="" dxfId="0">
      <formula>D25="OK"</formula>
    </cfRule>
    <cfRule type="expression" priority="3" aboveAverage="0" equalAverage="0" bottom="0" percent="0" rank="0" text="" dxfId="1">
      <formula>D25="Actie"</formula>
    </cfRule>
  </conditionalFormatting>
  <dataValidations count="1">
    <dataValidation allowBlank="true" errorStyle="stop" operator="between" showDropDown="false" showErrorMessage="false" showInputMessage="false" sqref="C7" type="list">
      <formula1>$H$2:$H$60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28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5"/>
    <col collapsed="false" customWidth="true" hidden="false" outlineLevel="0" max="16" min="16" style="0" width="12"/>
    <col collapsed="false" customWidth="true" hidden="false" outlineLevel="0" max="17" min="17" style="0" width="18"/>
  </cols>
  <sheetData>
    <row r="1" customFormat="false" ht="17.35" hidden="false" customHeight="false" outlineLevel="0" collapsed="false">
      <c r="A1" s="1" t="s">
        <v>43</v>
      </c>
    </row>
    <row r="4" customFormat="false" ht="45" hidden="false" customHeight="true" outlineLevel="0" collapsed="false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23</v>
      </c>
    </row>
    <row r="5" customFormat="false" ht="15" hidden="false" customHeight="false" outlineLevel="0" collapsed="false">
      <c r="A5" s="8" t="s">
        <v>60</v>
      </c>
      <c r="B5" s="8" t="n">
        <v>7205037</v>
      </c>
      <c r="C5" s="8" t="s">
        <v>61</v>
      </c>
      <c r="D5" s="2" t="s">
        <v>62</v>
      </c>
      <c r="E5" s="8" t="s">
        <v>63</v>
      </c>
      <c r="F5" s="2" t="s">
        <v>64</v>
      </c>
      <c r="G5" s="12" t="n">
        <v>2024</v>
      </c>
      <c r="H5" s="9" t="n">
        <v>8</v>
      </c>
      <c r="I5" s="13" t="n">
        <v>248960</v>
      </c>
      <c r="J5" s="12"/>
      <c r="K5" s="8" t="n">
        <v>119</v>
      </c>
      <c r="L5" s="13"/>
      <c r="M5" s="13"/>
      <c r="N5" s="13"/>
      <c r="O5" s="8"/>
      <c r="P5" s="13"/>
      <c r="Q5" s="2" t="s">
        <v>65</v>
      </c>
    </row>
    <row r="6" customFormat="false" ht="15" hidden="false" customHeight="false" outlineLevel="0" collapsed="false">
      <c r="A6" s="8" t="s">
        <v>66</v>
      </c>
      <c r="B6" s="8" t="n">
        <v>7205034</v>
      </c>
      <c r="C6" s="8" t="s">
        <v>67</v>
      </c>
      <c r="D6" s="2" t="s">
        <v>68</v>
      </c>
      <c r="E6" s="8" t="s">
        <v>63</v>
      </c>
      <c r="F6" s="2" t="s">
        <v>69</v>
      </c>
      <c r="G6" s="12" t="n">
        <v>2023</v>
      </c>
      <c r="H6" s="9" t="n">
        <v>12</v>
      </c>
      <c r="I6" s="13" t="n">
        <v>358180</v>
      </c>
      <c r="J6" s="12"/>
      <c r="K6" s="8" t="n">
        <v>625</v>
      </c>
      <c r="L6" s="13"/>
      <c r="M6" s="13"/>
      <c r="N6" s="13"/>
      <c r="O6" s="8"/>
      <c r="P6" s="13"/>
      <c r="Q6" s="2" t="s">
        <v>65</v>
      </c>
    </row>
    <row r="7" customFormat="false" ht="15" hidden="false" customHeight="false" outlineLevel="0" collapsed="false">
      <c r="A7" s="8" t="s">
        <v>70</v>
      </c>
      <c r="B7" s="8"/>
      <c r="C7" s="8" t="s">
        <v>71</v>
      </c>
      <c r="D7" s="2" t="s">
        <v>62</v>
      </c>
      <c r="E7" s="8" t="s">
        <v>63</v>
      </c>
      <c r="F7" s="2" t="s">
        <v>72</v>
      </c>
      <c r="G7" s="12" t="n">
        <v>2012</v>
      </c>
      <c r="H7" s="9"/>
      <c r="I7" s="13"/>
      <c r="J7" s="12"/>
      <c r="K7" s="8"/>
      <c r="L7" s="13"/>
      <c r="M7" s="13"/>
      <c r="N7" s="13"/>
      <c r="O7" s="8"/>
      <c r="P7" s="13"/>
      <c r="Q7" s="2" t="s">
        <v>65</v>
      </c>
    </row>
    <row r="8" customFormat="false" ht="15" hidden="false" customHeight="false" outlineLevel="0" collapsed="false">
      <c r="A8" s="8" t="s">
        <v>73</v>
      </c>
      <c r="B8" s="8" t="n">
        <v>7205035</v>
      </c>
      <c r="C8" s="8" t="s">
        <v>74</v>
      </c>
      <c r="D8" s="2" t="s">
        <v>75</v>
      </c>
      <c r="E8" s="8" t="s">
        <v>63</v>
      </c>
      <c r="F8" s="2" t="s">
        <v>76</v>
      </c>
      <c r="G8" s="12" t="n">
        <v>2024</v>
      </c>
      <c r="H8" s="9" t="n">
        <v>8</v>
      </c>
      <c r="I8" s="13" t="n">
        <v>72896</v>
      </c>
      <c r="J8" s="12"/>
      <c r="K8" s="8" t="n">
        <v>632</v>
      </c>
      <c r="L8" s="13"/>
      <c r="M8" s="13"/>
      <c r="N8" s="13"/>
      <c r="O8" s="8"/>
      <c r="P8" s="13"/>
      <c r="Q8" s="2" t="s">
        <v>65</v>
      </c>
    </row>
    <row r="9" customFormat="false" ht="15" hidden="false" customHeight="false" outlineLevel="0" collapsed="false">
      <c r="A9" s="8" t="s">
        <v>77</v>
      </c>
      <c r="B9" s="8" t="n">
        <v>7205053</v>
      </c>
      <c r="C9" s="8" t="s">
        <v>78</v>
      </c>
      <c r="D9" s="2" t="s">
        <v>79</v>
      </c>
      <c r="E9" s="8" t="s">
        <v>63</v>
      </c>
      <c r="F9" s="2" t="s">
        <v>80</v>
      </c>
      <c r="G9" s="12" t="n">
        <v>2021</v>
      </c>
      <c r="H9" s="9" t="n">
        <v>8</v>
      </c>
      <c r="I9" s="13" t="n">
        <v>65000</v>
      </c>
      <c r="J9" s="12"/>
      <c r="K9" s="8"/>
      <c r="L9" s="13"/>
      <c r="M9" s="13"/>
      <c r="N9" s="13"/>
      <c r="O9" s="8"/>
      <c r="P9" s="13"/>
      <c r="Q9" s="2" t="s">
        <v>65</v>
      </c>
    </row>
    <row r="10" customFormat="false" ht="15" hidden="false" customHeight="false" outlineLevel="0" collapsed="false">
      <c r="A10" s="8" t="s">
        <v>81</v>
      </c>
      <c r="B10" s="8" t="n">
        <v>7205045</v>
      </c>
      <c r="C10" s="8" t="s">
        <v>82</v>
      </c>
      <c r="D10" s="2" t="s">
        <v>83</v>
      </c>
      <c r="E10" s="8" t="s">
        <v>84</v>
      </c>
      <c r="F10" s="2" t="s">
        <v>85</v>
      </c>
      <c r="G10" s="12" t="n">
        <v>2026</v>
      </c>
      <c r="H10" s="9" t="n">
        <v>8</v>
      </c>
      <c r="I10" s="13"/>
      <c r="J10" s="12" t="n">
        <v>2028</v>
      </c>
      <c r="K10" s="8"/>
      <c r="L10" s="13" t="n">
        <v>11000</v>
      </c>
      <c r="M10" s="13" t="n">
        <v>3420</v>
      </c>
      <c r="N10" s="13" t="n">
        <f aca="false">p_Slot</f>
        <v>35000</v>
      </c>
      <c r="O10" s="8" t="n">
        <v>635901</v>
      </c>
      <c r="P10" s="13" t="n">
        <v>11786.52</v>
      </c>
      <c r="Q10" s="2" t="s">
        <v>65</v>
      </c>
    </row>
    <row r="11" customFormat="false" ht="15" hidden="false" customHeight="false" outlineLevel="0" collapsed="false">
      <c r="A11" s="8" t="s">
        <v>86</v>
      </c>
      <c r="B11" s="8" t="n">
        <v>7205051</v>
      </c>
      <c r="C11" s="8" t="s">
        <v>87</v>
      </c>
      <c r="D11" s="2" t="s">
        <v>88</v>
      </c>
      <c r="E11" s="8" t="s">
        <v>63</v>
      </c>
      <c r="F11" s="2" t="s">
        <v>89</v>
      </c>
      <c r="G11" s="12" t="n">
        <v>2013</v>
      </c>
      <c r="H11" s="9" t="n">
        <v>8</v>
      </c>
      <c r="I11" s="13" t="n">
        <v>65000</v>
      </c>
      <c r="J11" s="12"/>
      <c r="K11" s="8" t="n">
        <v>803</v>
      </c>
      <c r="L11" s="13"/>
      <c r="M11" s="13"/>
      <c r="N11" s="13"/>
      <c r="O11" s="8"/>
      <c r="P11" s="13"/>
      <c r="Q11" s="2" t="s">
        <v>65</v>
      </c>
    </row>
    <row r="12" customFormat="false" ht="15" hidden="false" customHeight="false" outlineLevel="0" collapsed="false">
      <c r="A12" s="8" t="s">
        <v>90</v>
      </c>
      <c r="B12" s="8" t="n">
        <v>7205048</v>
      </c>
      <c r="C12" s="8" t="s">
        <v>91</v>
      </c>
      <c r="D12" s="2" t="s">
        <v>75</v>
      </c>
      <c r="E12" s="8" t="s">
        <v>84</v>
      </c>
      <c r="F12" s="2" t="s">
        <v>92</v>
      </c>
      <c r="G12" s="12" t="n">
        <v>2026</v>
      </c>
      <c r="H12" s="9" t="n">
        <v>8</v>
      </c>
      <c r="I12" s="13"/>
      <c r="J12" s="12" t="n">
        <v>2028</v>
      </c>
      <c r="K12" s="8" t="n">
        <v>648</v>
      </c>
      <c r="L12" s="13" t="n">
        <v>11000</v>
      </c>
      <c r="M12" s="13" t="n">
        <v>3420</v>
      </c>
      <c r="N12" s="13" t="n">
        <f aca="false">p_Slot</f>
        <v>35000</v>
      </c>
      <c r="O12" s="8" t="n">
        <v>617901</v>
      </c>
      <c r="P12" s="13" t="n">
        <v>11786.52</v>
      </c>
      <c r="Q12" s="2" t="s">
        <v>65</v>
      </c>
    </row>
    <row r="13" customFormat="false" ht="15" hidden="false" customHeight="false" outlineLevel="0" collapsed="false">
      <c r="A13" s="8" t="s">
        <v>93</v>
      </c>
      <c r="B13" s="8" t="n">
        <v>7205039</v>
      </c>
      <c r="C13" s="8" t="s">
        <v>94</v>
      </c>
      <c r="D13" s="2" t="s">
        <v>79</v>
      </c>
      <c r="E13" s="8" t="s">
        <v>63</v>
      </c>
      <c r="F13" s="2" t="s">
        <v>95</v>
      </c>
      <c r="G13" s="12" t="n">
        <v>2024</v>
      </c>
      <c r="H13" s="9" t="n">
        <v>8</v>
      </c>
      <c r="I13" s="13" t="n">
        <v>38664</v>
      </c>
      <c r="J13" s="12"/>
      <c r="K13" s="8" t="n">
        <v>472</v>
      </c>
      <c r="L13" s="13"/>
      <c r="M13" s="13"/>
      <c r="N13" s="13"/>
      <c r="O13" s="8"/>
      <c r="P13" s="13"/>
      <c r="Q13" s="2" t="s">
        <v>65</v>
      </c>
    </row>
    <row r="14" customFormat="false" ht="15" hidden="false" customHeight="false" outlineLevel="0" collapsed="false">
      <c r="A14" s="8" t="s">
        <v>96</v>
      </c>
      <c r="B14" s="8" t="n">
        <v>7205043</v>
      </c>
      <c r="C14" s="8" t="s">
        <v>97</v>
      </c>
      <c r="D14" s="2" t="s">
        <v>98</v>
      </c>
      <c r="E14" s="8" t="s">
        <v>63</v>
      </c>
      <c r="F14" s="2" t="s">
        <v>98</v>
      </c>
      <c r="G14" s="12" t="n">
        <v>2025</v>
      </c>
      <c r="H14" s="9" t="n">
        <v>8</v>
      </c>
      <c r="I14" s="13" t="n">
        <v>30093</v>
      </c>
      <c r="J14" s="12"/>
      <c r="K14" s="8" t="n">
        <v>461</v>
      </c>
      <c r="L14" s="13"/>
      <c r="M14" s="13"/>
      <c r="N14" s="13"/>
      <c r="O14" s="8"/>
      <c r="P14" s="13"/>
      <c r="Q14" s="2" t="s">
        <v>65</v>
      </c>
    </row>
    <row r="15" customFormat="false" ht="15" hidden="false" customHeight="false" outlineLevel="0" collapsed="false">
      <c r="A15" s="8" t="s">
        <v>99</v>
      </c>
      <c r="B15" s="8" t="n">
        <v>7205046</v>
      </c>
      <c r="C15" s="8"/>
      <c r="D15" s="2" t="s">
        <v>83</v>
      </c>
      <c r="E15" s="8" t="s">
        <v>84</v>
      </c>
      <c r="F15" s="2" t="s">
        <v>100</v>
      </c>
      <c r="G15" s="12" t="n">
        <v>2026</v>
      </c>
      <c r="H15" s="9" t="n">
        <v>8</v>
      </c>
      <c r="I15" s="13"/>
      <c r="J15" s="12" t="n">
        <v>2028</v>
      </c>
      <c r="K15" s="8"/>
      <c r="L15" s="13" t="n">
        <v>11000</v>
      </c>
      <c r="M15" s="13" t="n">
        <v>0</v>
      </c>
      <c r="N15" s="13" t="n">
        <f aca="false">p_Slot</f>
        <v>35000</v>
      </c>
      <c r="O15" s="8" t="n">
        <v>635901</v>
      </c>
      <c r="P15" s="13" t="n">
        <v>13448.5289256198</v>
      </c>
      <c r="Q15" s="2" t="s">
        <v>65</v>
      </c>
    </row>
    <row r="16" customFormat="false" ht="15" hidden="false" customHeight="false" outlineLevel="0" collapsed="false">
      <c r="A16" s="8" t="s">
        <v>101</v>
      </c>
      <c r="B16" s="8" t="n">
        <v>7205044</v>
      </c>
      <c r="C16" s="8" t="s">
        <v>102</v>
      </c>
      <c r="D16" s="2" t="s">
        <v>103</v>
      </c>
      <c r="E16" s="8" t="s">
        <v>63</v>
      </c>
      <c r="F16" s="2" t="s">
        <v>104</v>
      </c>
      <c r="G16" s="12" t="n">
        <v>2024</v>
      </c>
      <c r="H16" s="9" t="n">
        <v>8</v>
      </c>
      <c r="I16" s="13" t="n">
        <v>65770</v>
      </c>
      <c r="J16" s="12"/>
      <c r="K16" s="8" t="n">
        <v>465</v>
      </c>
      <c r="L16" s="13"/>
      <c r="M16" s="13"/>
      <c r="N16" s="13"/>
      <c r="O16" s="8"/>
      <c r="P16" s="13"/>
      <c r="Q16" s="2" t="s">
        <v>65</v>
      </c>
    </row>
    <row r="17" customFormat="false" ht="15" hidden="false" customHeight="false" outlineLevel="0" collapsed="false">
      <c r="A17" s="8" t="s">
        <v>105</v>
      </c>
      <c r="B17" s="8" t="n">
        <v>7205052</v>
      </c>
      <c r="C17" s="8" t="s">
        <v>106</v>
      </c>
      <c r="D17" s="2" t="s">
        <v>88</v>
      </c>
      <c r="E17" s="8" t="s">
        <v>63</v>
      </c>
      <c r="F17" s="2" t="s">
        <v>107</v>
      </c>
      <c r="G17" s="12" t="n">
        <v>2017</v>
      </c>
      <c r="H17" s="9" t="n">
        <v>8</v>
      </c>
      <c r="I17" s="13" t="n">
        <v>65000</v>
      </c>
      <c r="J17" s="12"/>
      <c r="K17" s="8" t="n">
        <v>520</v>
      </c>
      <c r="L17" s="13"/>
      <c r="M17" s="13"/>
      <c r="N17" s="13"/>
      <c r="O17" s="8"/>
      <c r="P17" s="13"/>
      <c r="Q17" s="2" t="s">
        <v>65</v>
      </c>
    </row>
    <row r="18" customFormat="false" ht="15" hidden="false" customHeight="false" outlineLevel="0" collapsed="false">
      <c r="A18" s="8" t="s">
        <v>108</v>
      </c>
      <c r="B18" s="8" t="n">
        <v>7205058</v>
      </c>
      <c r="C18" s="8" t="s">
        <v>109</v>
      </c>
      <c r="D18" s="2" t="s">
        <v>110</v>
      </c>
      <c r="E18" s="8" t="s">
        <v>63</v>
      </c>
      <c r="F18" s="2" t="s">
        <v>111</v>
      </c>
      <c r="G18" s="12" t="n">
        <v>2018</v>
      </c>
      <c r="H18" s="9" t="n">
        <v>8</v>
      </c>
      <c r="I18" s="13" t="n">
        <v>45000</v>
      </c>
      <c r="J18" s="12"/>
      <c r="K18" s="8"/>
      <c r="L18" s="13"/>
      <c r="M18" s="13"/>
      <c r="N18" s="13"/>
      <c r="O18" s="8"/>
      <c r="P18" s="13"/>
      <c r="Q18" s="2" t="s">
        <v>65</v>
      </c>
    </row>
    <row r="19" customFormat="false" ht="15" hidden="false" customHeight="false" outlineLevel="0" collapsed="false">
      <c r="A19" s="8" t="s">
        <v>112</v>
      </c>
      <c r="B19" s="8" t="n">
        <v>7205033</v>
      </c>
      <c r="C19" s="8"/>
      <c r="D19" s="2" t="s">
        <v>113</v>
      </c>
      <c r="E19" s="8" t="s">
        <v>84</v>
      </c>
      <c r="F19" s="2" t="s">
        <v>114</v>
      </c>
      <c r="G19" s="12" t="n">
        <v>2026</v>
      </c>
      <c r="H19" s="9" t="n">
        <v>8</v>
      </c>
      <c r="I19" s="13"/>
      <c r="J19" s="12" t="n">
        <v>2028</v>
      </c>
      <c r="K19" s="8" t="n">
        <v>463</v>
      </c>
      <c r="L19" s="13" t="n">
        <v>11000</v>
      </c>
      <c r="M19" s="13" t="n">
        <v>0</v>
      </c>
      <c r="N19" s="13" t="n">
        <f aca="false">p_Slot</f>
        <v>35000</v>
      </c>
      <c r="O19" s="8" t="n">
        <v>604901</v>
      </c>
      <c r="P19" s="13" t="n">
        <v>11641.6859504132</v>
      </c>
      <c r="Q19" s="2" t="s">
        <v>65</v>
      </c>
    </row>
    <row r="20" customFormat="false" ht="15" hidden="false" customHeight="false" outlineLevel="0" collapsed="false">
      <c r="A20" s="8" t="s">
        <v>115</v>
      </c>
      <c r="B20" s="8" t="n">
        <v>7205032</v>
      </c>
      <c r="C20" s="8"/>
      <c r="D20" s="2" t="s">
        <v>116</v>
      </c>
      <c r="E20" s="8" t="s">
        <v>84</v>
      </c>
      <c r="F20" s="2" t="s">
        <v>117</v>
      </c>
      <c r="G20" s="12" t="n">
        <v>2026</v>
      </c>
      <c r="H20" s="9" t="n">
        <v>8</v>
      </c>
      <c r="I20" s="13"/>
      <c r="J20" s="12" t="n">
        <v>2028</v>
      </c>
      <c r="K20" s="8" t="n">
        <v>776</v>
      </c>
      <c r="L20" s="13" t="n">
        <v>13310</v>
      </c>
      <c r="M20" s="13" t="n">
        <v>0</v>
      </c>
      <c r="N20" s="13" t="n">
        <f aca="false">p_Slot</f>
        <v>35000</v>
      </c>
      <c r="O20" s="8" t="n">
        <v>630901</v>
      </c>
      <c r="P20" s="13" t="n">
        <v>14085.84</v>
      </c>
      <c r="Q20" s="2" t="s">
        <v>65</v>
      </c>
    </row>
    <row r="21" customFormat="false" ht="15" hidden="false" customHeight="false" outlineLevel="0" collapsed="false">
      <c r="A21" s="8" t="s">
        <v>118</v>
      </c>
      <c r="B21" s="8" t="n">
        <v>7205047</v>
      </c>
      <c r="C21" s="8" t="s">
        <v>119</v>
      </c>
      <c r="D21" s="2" t="s">
        <v>120</v>
      </c>
      <c r="E21" s="8" t="s">
        <v>84</v>
      </c>
      <c r="F21" s="2" t="s">
        <v>121</v>
      </c>
      <c r="G21" s="12" t="n">
        <v>2026</v>
      </c>
      <c r="H21" s="9" t="n">
        <v>8</v>
      </c>
      <c r="I21" s="13"/>
      <c r="J21" s="12" t="n">
        <v>2028</v>
      </c>
      <c r="K21" s="8" t="n">
        <v>647</v>
      </c>
      <c r="L21" s="13" t="n">
        <v>11000</v>
      </c>
      <c r="M21" s="13" t="n">
        <v>3420</v>
      </c>
      <c r="N21" s="13" t="n">
        <f aca="false">p_Slot</f>
        <v>35000</v>
      </c>
      <c r="O21" s="8" t="n">
        <v>604901</v>
      </c>
      <c r="P21" s="13" t="n">
        <v>11786.52</v>
      </c>
      <c r="Q21" s="2" t="s">
        <v>65</v>
      </c>
    </row>
    <row r="22" customFormat="false" ht="15" hidden="false" customHeight="false" outlineLevel="0" collapsed="false">
      <c r="A22" s="8" t="s">
        <v>122</v>
      </c>
      <c r="B22" s="8" t="n">
        <v>7205027</v>
      </c>
      <c r="C22" s="8" t="s">
        <v>123</v>
      </c>
      <c r="D22" s="2" t="s">
        <v>116</v>
      </c>
      <c r="E22" s="8" t="s">
        <v>63</v>
      </c>
      <c r="F22" s="2"/>
      <c r="G22" s="12" t="n">
        <v>2023</v>
      </c>
      <c r="H22" s="9" t="n">
        <v>15</v>
      </c>
      <c r="I22" s="13" t="n">
        <v>121968</v>
      </c>
      <c r="J22" s="12"/>
      <c r="K22" s="8" t="n">
        <v>458</v>
      </c>
      <c r="L22" s="13"/>
      <c r="M22" s="13"/>
      <c r="N22" s="13"/>
      <c r="O22" s="8"/>
      <c r="P22" s="13"/>
      <c r="Q22" s="2" t="s">
        <v>65</v>
      </c>
    </row>
    <row r="23" customFormat="false" ht="15" hidden="false" customHeight="false" outlineLevel="0" collapsed="false">
      <c r="A23" s="8" t="s">
        <v>124</v>
      </c>
      <c r="B23" s="8" t="n">
        <v>7205057</v>
      </c>
      <c r="C23" s="8" t="s">
        <v>125</v>
      </c>
      <c r="D23" s="2" t="s">
        <v>116</v>
      </c>
      <c r="E23" s="8" t="s">
        <v>63</v>
      </c>
      <c r="F23" s="2" t="s">
        <v>126</v>
      </c>
      <c r="G23" s="12" t="n">
        <v>2012</v>
      </c>
      <c r="H23" s="9" t="n">
        <v>15</v>
      </c>
      <c r="I23" s="13" t="n">
        <v>80000</v>
      </c>
      <c r="J23" s="12"/>
      <c r="K23" s="8" t="n">
        <v>823</v>
      </c>
      <c r="L23" s="13"/>
      <c r="M23" s="13"/>
      <c r="N23" s="13"/>
      <c r="O23" s="8"/>
      <c r="P23" s="13"/>
      <c r="Q23" s="2" t="s">
        <v>65</v>
      </c>
    </row>
    <row r="24" customFormat="false" ht="15" hidden="false" customHeight="false" outlineLevel="0" collapsed="false">
      <c r="A24" s="8" t="s">
        <v>127</v>
      </c>
      <c r="B24" s="8"/>
      <c r="C24" s="8" t="s">
        <v>128</v>
      </c>
      <c r="D24" s="2" t="s">
        <v>83</v>
      </c>
      <c r="E24" s="8" t="s">
        <v>63</v>
      </c>
      <c r="F24" s="2" t="s">
        <v>126</v>
      </c>
      <c r="G24" s="12" t="n">
        <v>2009</v>
      </c>
      <c r="H24" s="9" t="n">
        <v>20</v>
      </c>
      <c r="I24" s="13" t="n">
        <v>100000</v>
      </c>
      <c r="J24" s="12"/>
      <c r="K24" s="8"/>
      <c r="L24" s="13"/>
      <c r="M24" s="13"/>
      <c r="N24" s="13"/>
      <c r="O24" s="8"/>
      <c r="P24" s="13"/>
      <c r="Q24" s="2" t="s">
        <v>65</v>
      </c>
    </row>
    <row r="25" customFormat="false" ht="15" hidden="false" customHeight="false" outlineLevel="0" collapsed="false">
      <c r="A25" s="8" t="s">
        <v>129</v>
      </c>
      <c r="B25" s="8" t="n">
        <v>7205041</v>
      </c>
      <c r="C25" s="8" t="s">
        <v>130</v>
      </c>
      <c r="D25" s="2" t="s">
        <v>116</v>
      </c>
      <c r="E25" s="8" t="s">
        <v>63</v>
      </c>
      <c r="F25" s="2" t="s">
        <v>126</v>
      </c>
      <c r="G25" s="12" t="n">
        <v>2024</v>
      </c>
      <c r="H25" s="9" t="n">
        <v>10</v>
      </c>
      <c r="I25" s="13" t="n">
        <v>51100</v>
      </c>
      <c r="J25" s="12"/>
      <c r="K25" s="8" t="n">
        <v>518</v>
      </c>
      <c r="L25" s="13"/>
      <c r="M25" s="13"/>
      <c r="N25" s="13"/>
      <c r="O25" s="8"/>
      <c r="P25" s="13"/>
      <c r="Q25" s="2" t="s">
        <v>65</v>
      </c>
    </row>
    <row r="26" customFormat="false" ht="15" hidden="false" customHeight="false" outlineLevel="0" collapsed="false">
      <c r="A26" s="8" t="s">
        <v>131</v>
      </c>
      <c r="B26" s="8"/>
      <c r="C26" s="8" t="s">
        <v>132</v>
      </c>
      <c r="D26" s="2" t="s">
        <v>133</v>
      </c>
      <c r="E26" s="8" t="s">
        <v>63</v>
      </c>
      <c r="F26" s="2" t="s">
        <v>126</v>
      </c>
      <c r="G26" s="12" t="n">
        <v>2023</v>
      </c>
      <c r="H26" s="9" t="n">
        <v>10</v>
      </c>
      <c r="I26" s="13" t="n">
        <v>19000</v>
      </c>
      <c r="J26" s="12"/>
      <c r="K26" s="8"/>
      <c r="L26" s="13"/>
      <c r="M26" s="13"/>
      <c r="N26" s="13"/>
      <c r="O26" s="8"/>
      <c r="P26" s="13"/>
      <c r="Q26" s="2" t="s">
        <v>65</v>
      </c>
    </row>
    <row r="27" customFormat="false" ht="15" hidden="false" customHeight="false" outlineLevel="0" collapsed="false">
      <c r="A27" s="8" t="s">
        <v>134</v>
      </c>
      <c r="B27" s="8" t="n">
        <v>7205056</v>
      </c>
      <c r="C27" s="8" t="s">
        <v>132</v>
      </c>
      <c r="D27" s="2" t="s">
        <v>133</v>
      </c>
      <c r="E27" s="8" t="s">
        <v>63</v>
      </c>
      <c r="F27" s="2" t="s">
        <v>126</v>
      </c>
      <c r="G27" s="12" t="n">
        <v>2007</v>
      </c>
      <c r="H27" s="9" t="n">
        <v>8</v>
      </c>
      <c r="I27" s="13" t="n">
        <v>50000</v>
      </c>
      <c r="J27" s="12"/>
      <c r="K27" s="8"/>
      <c r="L27" s="13"/>
      <c r="M27" s="13"/>
      <c r="N27" s="13"/>
      <c r="O27" s="8"/>
      <c r="P27" s="13"/>
      <c r="Q27" s="2" t="s">
        <v>65</v>
      </c>
    </row>
    <row r="28" customFormat="false" ht="15" hidden="false" customHeight="false" outlineLevel="0" collapsed="false">
      <c r="A28" s="8" t="s">
        <v>135</v>
      </c>
      <c r="B28" s="8" t="n">
        <v>7205054</v>
      </c>
      <c r="C28" s="8" t="s">
        <v>136</v>
      </c>
      <c r="D28" s="2" t="s">
        <v>137</v>
      </c>
      <c r="E28" s="8" t="s">
        <v>63</v>
      </c>
      <c r="F28" s="2" t="s">
        <v>138</v>
      </c>
      <c r="G28" s="12" t="n">
        <v>2017</v>
      </c>
      <c r="H28" s="9" t="n">
        <v>8</v>
      </c>
      <c r="I28" s="13" t="n">
        <v>45000</v>
      </c>
      <c r="J28" s="12"/>
      <c r="K28" s="8"/>
      <c r="L28" s="13"/>
      <c r="M28" s="13"/>
      <c r="N28" s="13"/>
      <c r="O28" s="8"/>
      <c r="P28" s="13"/>
      <c r="Q28" s="2" t="s">
        <v>65</v>
      </c>
    </row>
    <row r="29" customFormat="false" ht="15" hidden="false" customHeight="false" outlineLevel="0" collapsed="false">
      <c r="A29" s="8" t="s">
        <v>139</v>
      </c>
      <c r="B29" s="8" t="n">
        <v>7205055</v>
      </c>
      <c r="C29" s="8" t="s">
        <v>140</v>
      </c>
      <c r="D29" s="2" t="s">
        <v>141</v>
      </c>
      <c r="E29" s="8" t="s">
        <v>63</v>
      </c>
      <c r="F29" s="2" t="s">
        <v>138</v>
      </c>
      <c r="G29" s="12" t="n">
        <v>2017</v>
      </c>
      <c r="H29" s="9" t="n">
        <v>8</v>
      </c>
      <c r="I29" s="13" t="n">
        <v>45000</v>
      </c>
      <c r="J29" s="12"/>
      <c r="K29" s="8"/>
      <c r="L29" s="13"/>
      <c r="M29" s="13"/>
      <c r="N29" s="13"/>
      <c r="O29" s="8"/>
      <c r="P29" s="13"/>
      <c r="Q29" s="2" t="s">
        <v>65</v>
      </c>
    </row>
    <row r="30" customFormat="false" ht="15" hidden="false" customHeight="false" outlineLevel="0" collapsed="false">
      <c r="A30" s="8" t="s">
        <v>142</v>
      </c>
      <c r="B30" s="8"/>
      <c r="C30" s="8" t="s">
        <v>143</v>
      </c>
      <c r="D30" s="2" t="s">
        <v>144</v>
      </c>
      <c r="E30" s="8" t="s">
        <v>84</v>
      </c>
      <c r="F30" s="2" t="s">
        <v>145</v>
      </c>
      <c r="G30" s="12" t="n">
        <v>2026</v>
      </c>
      <c r="H30" s="9" t="n">
        <v>8</v>
      </c>
      <c r="I30" s="13"/>
      <c r="J30" s="12" t="n">
        <v>2028</v>
      </c>
      <c r="K30" s="8"/>
      <c r="L30" s="13" t="n">
        <f aca="false">p_Aanbet</f>
        <v>10000</v>
      </c>
      <c r="M30" s="13" t="n">
        <f aca="false">p_Belet+p_Opbouw</f>
        <v>12000</v>
      </c>
      <c r="N30" s="13" t="n">
        <f aca="false">p_Slot</f>
        <v>35000</v>
      </c>
      <c r="O30" s="8"/>
      <c r="P30" s="13"/>
      <c r="Q30" s="2" t="s">
        <v>65</v>
      </c>
    </row>
    <row r="31" customFormat="false" ht="15" hidden="false" customHeight="false" outlineLevel="0" collapsed="false">
      <c r="A31" s="8" t="s">
        <v>146</v>
      </c>
      <c r="B31" s="8" t="n">
        <v>7205036</v>
      </c>
      <c r="C31" s="8" t="s">
        <v>147</v>
      </c>
      <c r="D31" s="2" t="s">
        <v>141</v>
      </c>
      <c r="E31" s="8" t="s">
        <v>63</v>
      </c>
      <c r="F31" s="2" t="s">
        <v>138</v>
      </c>
      <c r="G31" s="12" t="n">
        <v>2023</v>
      </c>
      <c r="H31" s="9" t="n">
        <v>8</v>
      </c>
      <c r="I31" s="13" t="n">
        <v>41530</v>
      </c>
      <c r="J31" s="12"/>
      <c r="K31" s="8" t="n">
        <v>631</v>
      </c>
      <c r="L31" s="13"/>
      <c r="M31" s="13"/>
      <c r="N31" s="13"/>
      <c r="O31" s="8"/>
      <c r="P31" s="13"/>
      <c r="Q31" s="2" t="s">
        <v>65</v>
      </c>
    </row>
    <row r="33" customFormat="false" ht="15" hidden="false" customHeight="false" outlineLevel="0" collapsed="false">
      <c r="A33" s="3" t="s">
        <v>148</v>
      </c>
      <c r="I33" s="14" t="n">
        <f aca="false">SUMIF($Q$5:$Q$31,"In gebruik",I5:I31)</f>
        <v>1608161</v>
      </c>
      <c r="L33" s="14" t="n">
        <f aca="false">SUMIF($Q$5:$Q$31,"In gebruik",L5:L31)</f>
        <v>78310</v>
      </c>
      <c r="M33" s="14" t="n">
        <f aca="false">SUMIF($Q$5:$Q$31,"In gebruik",M5:M31)</f>
        <v>22260</v>
      </c>
      <c r="N33" s="14" t="n">
        <f aca="false">SUMIF($Q$5:$Q$31,"In gebruik",N5:N31)</f>
        <v>245000</v>
      </c>
    </row>
    <row r="34" customFormat="false" ht="15" hidden="false" customHeight="false" outlineLevel="0" collapsed="false">
      <c r="A34" s="3" t="s">
        <v>149</v>
      </c>
      <c r="I34" s="14" t="n">
        <f aca="false">SUMIF($Q$5:$Q$31,"Te vervangen*",I5:I31)</f>
        <v>0</v>
      </c>
      <c r="L34" s="14" t="n">
        <f aca="false">SUMIF($Q$5:$Q$31,"Te vervangen*",L5:L31)</f>
        <v>0</v>
      </c>
      <c r="M34" s="14" t="n">
        <f aca="false">SUMIF($Q$5:$Q$31,"Te vervangen*",M5:M31)</f>
        <v>0</v>
      </c>
      <c r="N34" s="14" t="n">
        <f aca="false">SUMIF($Q$5:$Q$31,"Te vervangen*",N5:N31)</f>
        <v>0</v>
      </c>
    </row>
    <row r="36" customFormat="false" ht="15" hidden="false" customHeight="false" outlineLevel="0" collapsed="false">
      <c r="A36" s="3" t="s">
        <v>150</v>
      </c>
    </row>
    <row r="37" customFormat="false" ht="15" hidden="false" customHeight="false" outlineLevel="0" collapsed="false">
      <c r="A37" s="5" t="s">
        <v>151</v>
      </c>
    </row>
    <row r="38" customFormat="false" ht="15" hidden="false" customHeight="false" outlineLevel="0" collapsed="false">
      <c r="A38" s="5" t="s">
        <v>152</v>
      </c>
    </row>
    <row r="39" customFormat="false" ht="15" hidden="false" customHeight="false" outlineLevel="0" collapsed="false">
      <c r="A39" s="5" t="s">
        <v>153</v>
      </c>
    </row>
  </sheetData>
  <autoFilter ref="A4:Q31"/>
  <conditionalFormatting sqref="A5:Q500">
    <cfRule type="expression" priority="2" aboveAverage="0" equalAverage="0" bottom="0" percent="0" rank="0" text="" dxfId="1">
      <formula>LEFT($Q5,12)="Te vervangen"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9" min="6" style="0" width="15"/>
    <col collapsed="false" customWidth="true" hidden="false" outlineLevel="0" max="10" min="10" style="0" width="18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4" min="13" style="0" width="12"/>
    <col collapsed="false" customWidth="true" hidden="false" outlineLevel="0" max="15" min="15" style="0" width="15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" t="s">
        <v>154</v>
      </c>
    </row>
    <row r="4" customFormat="false" ht="45" hidden="false" customHeight="true" outlineLevel="0" collapsed="false">
      <c r="A4" s="11" t="s">
        <v>44</v>
      </c>
      <c r="B4" s="11" t="s">
        <v>47</v>
      </c>
      <c r="C4" s="11" t="s">
        <v>155</v>
      </c>
      <c r="D4" s="11" t="s">
        <v>50</v>
      </c>
      <c r="E4" s="11" t="s">
        <v>156</v>
      </c>
      <c r="F4" s="15" t="n">
        <f aca="false">LopendJaar+1</f>
        <v>2027</v>
      </c>
      <c r="G4" s="15" t="n">
        <f aca="false">F4+1</f>
        <v>2028</v>
      </c>
      <c r="H4" s="15" t="n">
        <f aca="false">G4+1</f>
        <v>2029</v>
      </c>
      <c r="I4" s="15" t="n">
        <f aca="false">H4+1</f>
        <v>2030</v>
      </c>
      <c r="J4" s="11" t="s">
        <v>157</v>
      </c>
      <c r="K4" s="11" t="s">
        <v>158</v>
      </c>
      <c r="L4" s="11" t="s">
        <v>159</v>
      </c>
      <c r="M4" s="11" t="s">
        <v>160</v>
      </c>
      <c r="N4" s="11" t="s">
        <v>161</v>
      </c>
      <c r="O4" s="11" t="s">
        <v>58</v>
      </c>
      <c r="P4" s="11" t="s">
        <v>162</v>
      </c>
    </row>
    <row r="5" customFormat="false" ht="15" hidden="false" customHeight="false" outlineLevel="0" collapsed="false">
      <c r="A5" s="8" t="s">
        <v>163</v>
      </c>
      <c r="B5" s="2" t="s">
        <v>88</v>
      </c>
      <c r="C5" s="8" t="s">
        <v>84</v>
      </c>
      <c r="D5" s="12" t="n">
        <v>2027</v>
      </c>
      <c r="E5" s="12" t="n">
        <f aca="false">IF($C5="Lease-koop",D5+p_Lev,IF($C5="Koop",D5+J5,0))</f>
        <v>2035</v>
      </c>
      <c r="F5" s="16" t="n">
        <f aca="false">IF($C5="Lease-koop",IF(F$4=$D5,p_Aanbet+p_Belet+p_Opbouw,0)+IF(F$4=$M5,p_Slot,0),IF(F$4=$D5,N($L5),0))</f>
        <v>22000</v>
      </c>
      <c r="G5" s="16" t="n">
        <f aca="false">IF($C5="Lease-koop",IF(G$4=$D5,p_Aanbet+p_Belet+p_Opbouw,0)+IF(G$4=$M5,p_Slot,0),IF(G$4=$D5,N($L5),0))</f>
        <v>0</v>
      </c>
      <c r="H5" s="16" t="n">
        <f aca="false">IF($C5="Lease-koop",IF(H$4=$D5,p_Aanbet+p_Belet+p_Opbouw,0)+IF(H$4=$M5,p_Slot,0),IF(H$4=$D5,N($L5),0))</f>
        <v>35000</v>
      </c>
      <c r="I5" s="16" t="n">
        <f aca="false">IF($C5="Lease-koop",IF(I$4=$D5,p_Aanbet+p_Belet+p_Opbouw,0)+IF(I$4=$M5,p_Slot,0),IF(I$4=$D5,N($L5),0))</f>
        <v>0</v>
      </c>
      <c r="J5" s="12" t="n">
        <f aca="false">p_Afschr</f>
        <v>6</v>
      </c>
      <c r="K5" s="6"/>
      <c r="L5" s="16" t="n">
        <f aca="false">p_Aanbet+p_Belet+p_Opbouw+p_Slot</f>
        <v>57000</v>
      </c>
      <c r="M5" s="12" t="n">
        <f aca="false">IF($C5="Lease-koop",D5+p_SlotJr,IF($C5="Koop",D5,0))</f>
        <v>2029</v>
      </c>
      <c r="N5" s="16" t="n">
        <f aca="false">IF($C5="Lease-koop",p_Lease,0)</f>
        <v>12000</v>
      </c>
      <c r="O5" s="8"/>
      <c r="P5" s="2"/>
    </row>
    <row r="6" customFormat="false" ht="15" hidden="false" customHeight="false" outlineLevel="0" collapsed="false">
      <c r="A6" s="8" t="s">
        <v>164</v>
      </c>
      <c r="B6" s="2" t="s">
        <v>88</v>
      </c>
      <c r="C6" s="8" t="s">
        <v>84</v>
      </c>
      <c r="D6" s="12" t="n">
        <v>2027</v>
      </c>
      <c r="E6" s="12" t="n">
        <f aca="false">IF($C6="Lease-koop",D6+p_Lev,IF($C6="Koop",D6+J6,0))</f>
        <v>2035</v>
      </c>
      <c r="F6" s="16" t="n">
        <f aca="false">IF($C6="Lease-koop",IF(F$4=$D6,p_Aanbet+p_Belet+p_Opbouw,0)+IF(F$4=$M6,p_Slot,0),IF(F$4=$D6,N($L6),0))</f>
        <v>22000</v>
      </c>
      <c r="G6" s="16" t="n">
        <f aca="false">IF($C6="Lease-koop",IF(G$4=$D6,p_Aanbet+p_Belet+p_Opbouw,0)+IF(G$4=$M6,p_Slot,0),IF(G$4=$D6,N($L6),0))</f>
        <v>0</v>
      </c>
      <c r="H6" s="16" t="n">
        <f aca="false">IF($C6="Lease-koop",IF(H$4=$D6,p_Aanbet+p_Belet+p_Opbouw,0)+IF(H$4=$M6,p_Slot,0),IF(H$4=$D6,N($L6),0))</f>
        <v>35000</v>
      </c>
      <c r="I6" s="16" t="n">
        <f aca="false">IF($C6="Lease-koop",IF(I$4=$D6,p_Aanbet+p_Belet+p_Opbouw,0)+IF(I$4=$M6,p_Slot,0),IF(I$4=$D6,N($L6),0))</f>
        <v>0</v>
      </c>
      <c r="J6" s="12" t="n">
        <f aca="false">p_Afschr</f>
        <v>6</v>
      </c>
      <c r="K6" s="6"/>
      <c r="L6" s="16" t="n">
        <f aca="false">p_Aanbet+p_Belet+p_Opbouw+p_Slot</f>
        <v>57000</v>
      </c>
      <c r="M6" s="12" t="n">
        <f aca="false">IF($C6="Lease-koop",D6+p_SlotJr,IF($C6="Koop",D6,0))</f>
        <v>2029</v>
      </c>
      <c r="N6" s="16" t="n">
        <f aca="false">IF($C6="Lease-koop",p_Lease,0)</f>
        <v>12000</v>
      </c>
      <c r="O6" s="8"/>
      <c r="P6" s="2"/>
    </row>
    <row r="7" customFormat="false" ht="15" hidden="false" customHeight="false" outlineLevel="0" collapsed="false">
      <c r="A7" s="8" t="s">
        <v>165</v>
      </c>
      <c r="B7" s="2" t="s">
        <v>110</v>
      </c>
      <c r="C7" s="8" t="s">
        <v>84</v>
      </c>
      <c r="D7" s="12" t="n">
        <v>2027</v>
      </c>
      <c r="E7" s="12" t="n">
        <f aca="false">IF($C7="Lease-koop",D7+p_Lev,IF($C7="Koop",D7+J7,0))</f>
        <v>2035</v>
      </c>
      <c r="F7" s="16" t="n">
        <f aca="false">IF($C7="Lease-koop",IF(F$4=$D7,p_Aanbet+p_Belet+p_Opbouw,0)+IF(F$4=$M7,p_Slot,0),IF(F$4=$D7,N($L7),0))</f>
        <v>22000</v>
      </c>
      <c r="G7" s="16" t="n">
        <f aca="false">IF($C7="Lease-koop",IF(G$4=$D7,p_Aanbet+p_Belet+p_Opbouw,0)+IF(G$4=$M7,p_Slot,0),IF(G$4=$D7,N($L7),0))</f>
        <v>0</v>
      </c>
      <c r="H7" s="16" t="n">
        <f aca="false">IF($C7="Lease-koop",IF(H$4=$D7,p_Aanbet+p_Belet+p_Opbouw,0)+IF(H$4=$M7,p_Slot,0),IF(H$4=$D7,N($L7),0))</f>
        <v>35000</v>
      </c>
      <c r="I7" s="16" t="n">
        <f aca="false">IF($C7="Lease-koop",IF(I$4=$D7,p_Aanbet+p_Belet+p_Opbouw,0)+IF(I$4=$M7,p_Slot,0),IF(I$4=$D7,N($L7),0))</f>
        <v>0</v>
      </c>
      <c r="J7" s="12" t="n">
        <f aca="false">p_Afschr</f>
        <v>6</v>
      </c>
      <c r="K7" s="6"/>
      <c r="L7" s="16" t="n">
        <f aca="false">p_Aanbet+p_Belet+p_Opbouw+p_Slot</f>
        <v>57000</v>
      </c>
      <c r="M7" s="12" t="n">
        <f aca="false">IF($C7="Lease-koop",D7+p_SlotJr,IF($C7="Koop",D7,0))</f>
        <v>2029</v>
      </c>
      <c r="N7" s="16" t="n">
        <f aca="false">IF($C7="Lease-koop",p_Lease,0)</f>
        <v>12000</v>
      </c>
      <c r="O7" s="8"/>
      <c r="P7" s="2"/>
    </row>
    <row r="8" customFormat="false" ht="15" hidden="false" customHeight="false" outlineLevel="0" collapsed="false">
      <c r="A8" s="8" t="s">
        <v>166</v>
      </c>
      <c r="B8" s="2" t="s">
        <v>116</v>
      </c>
      <c r="C8" s="8" t="s">
        <v>63</v>
      </c>
      <c r="D8" s="12" t="n">
        <v>2027</v>
      </c>
      <c r="E8" s="12" t="n">
        <f aca="false">IF($C8="Lease-koop",D8+p_Lev,IF($C8="Koop",D8+J8,0))</f>
        <v>2042</v>
      </c>
      <c r="F8" s="16" t="n">
        <f aca="false">IF($C8="Lease-koop",IF(F$4=$D8,p_Aanbet+p_Belet+p_Opbouw,0)+IF(F$4=$M8,p_Slot,0),IF(F$4=$D8,N($L8),0))</f>
        <v>80000</v>
      </c>
      <c r="G8" s="16" t="n">
        <f aca="false">IF($C8="Lease-koop",IF(G$4=$D8,p_Aanbet+p_Belet+p_Opbouw,0)+IF(G$4=$M8,p_Slot,0),IF(G$4=$D8,N($L8),0))</f>
        <v>0</v>
      </c>
      <c r="H8" s="16" t="n">
        <f aca="false">IF($C8="Lease-koop",IF(H$4=$D8,p_Aanbet+p_Belet+p_Opbouw,0)+IF(H$4=$M8,p_Slot,0),IF(H$4=$D8,N($L8),0))</f>
        <v>0</v>
      </c>
      <c r="I8" s="16" t="n">
        <f aca="false">IF($C8="Lease-koop",IF(I$4=$D8,p_Aanbet+p_Belet+p_Opbouw,0)+IF(I$4=$M8,p_Slot,0),IF(I$4=$D8,N($L8),0))</f>
        <v>0</v>
      </c>
      <c r="J8" s="12" t="n">
        <v>15</v>
      </c>
      <c r="K8" s="6"/>
      <c r="L8" s="16" t="n">
        <v>80000</v>
      </c>
      <c r="M8" s="12" t="n">
        <f aca="false">IF($C8="Lease-koop",D8+p_SlotJr,IF($C8="Koop",D8,0))</f>
        <v>2027</v>
      </c>
      <c r="N8" s="16" t="n">
        <f aca="false">IF($C8="Lease-koop",p_Lease,0)</f>
        <v>0</v>
      </c>
      <c r="O8" s="8"/>
      <c r="P8" s="2"/>
    </row>
    <row r="9" customFormat="false" ht="15" hidden="false" customHeight="false" outlineLevel="0" collapsed="false">
      <c r="A9" s="8" t="s">
        <v>167</v>
      </c>
      <c r="B9" s="2" t="s">
        <v>137</v>
      </c>
      <c r="C9" s="8" t="s">
        <v>84</v>
      </c>
      <c r="D9" s="12" t="n">
        <v>2027</v>
      </c>
      <c r="E9" s="12" t="n">
        <f aca="false">IF($C9="Lease-koop",D9+p_Lev,IF($C9="Koop",D9+J9,0))</f>
        <v>2035</v>
      </c>
      <c r="F9" s="16" t="n">
        <f aca="false">IF($C9="Lease-koop",IF(F$4=$D9,p_Aanbet+p_Belet+p_Opbouw,0)+IF(F$4=$M9,p_Slot,0),IF(F$4=$D9,N($L9),0))</f>
        <v>22000</v>
      </c>
      <c r="G9" s="16" t="n">
        <f aca="false">IF($C9="Lease-koop",IF(G$4=$D9,p_Aanbet+p_Belet+p_Opbouw,0)+IF(G$4=$M9,p_Slot,0),IF(G$4=$D9,N($L9),0))</f>
        <v>0</v>
      </c>
      <c r="H9" s="16" t="n">
        <f aca="false">IF($C9="Lease-koop",IF(H$4=$D9,p_Aanbet+p_Belet+p_Opbouw,0)+IF(H$4=$M9,p_Slot,0),IF(H$4=$D9,N($L9),0))</f>
        <v>35000</v>
      </c>
      <c r="I9" s="16" t="n">
        <f aca="false">IF($C9="Lease-koop",IF(I$4=$D9,p_Aanbet+p_Belet+p_Opbouw,0)+IF(I$4=$M9,p_Slot,0),IF(I$4=$D9,N($L9),0))</f>
        <v>0</v>
      </c>
      <c r="J9" s="12" t="n">
        <f aca="false">p_Afschr</f>
        <v>6</v>
      </c>
      <c r="K9" s="6"/>
      <c r="L9" s="16" t="n">
        <f aca="false">p_Aanbet+p_Belet+p_Opbouw+p_Slot</f>
        <v>57000</v>
      </c>
      <c r="M9" s="12" t="n">
        <f aca="false">IF($C9="Lease-koop",D9+p_SlotJr,IF($C9="Koop",D9,0))</f>
        <v>2029</v>
      </c>
      <c r="N9" s="16" t="n">
        <f aca="false">IF($C9="Lease-koop",p_Lease,0)</f>
        <v>12000</v>
      </c>
      <c r="O9" s="8"/>
      <c r="P9" s="2"/>
    </row>
    <row r="10" customFormat="false" ht="15" hidden="false" customHeight="false" outlineLevel="0" collapsed="false">
      <c r="A10" s="8" t="s">
        <v>168</v>
      </c>
      <c r="B10" s="2" t="s">
        <v>141</v>
      </c>
      <c r="C10" s="8" t="s">
        <v>84</v>
      </c>
      <c r="D10" s="12" t="n">
        <v>2027</v>
      </c>
      <c r="E10" s="12" t="n">
        <f aca="false">IF($C10="Lease-koop",D10+p_Lev,IF($C10="Koop",D10+J10,0))</f>
        <v>2035</v>
      </c>
      <c r="F10" s="16" t="n">
        <f aca="false">IF($C10="Lease-koop",IF(F$4=$D10,p_Aanbet+p_Belet+p_Opbouw,0)+IF(F$4=$M10,p_Slot,0),IF(F$4=$D10,N($L10),0))</f>
        <v>22000</v>
      </c>
      <c r="G10" s="16" t="n">
        <f aca="false">IF($C10="Lease-koop",IF(G$4=$D10,p_Aanbet+p_Belet+p_Opbouw,0)+IF(G$4=$M10,p_Slot,0),IF(G$4=$D10,N($L10),0))</f>
        <v>0</v>
      </c>
      <c r="H10" s="16" t="n">
        <f aca="false">IF($C10="Lease-koop",IF(H$4=$D10,p_Aanbet+p_Belet+p_Opbouw,0)+IF(H$4=$M10,p_Slot,0),IF(H$4=$D10,N($L10),0))</f>
        <v>35000</v>
      </c>
      <c r="I10" s="16" t="n">
        <f aca="false">IF($C10="Lease-koop",IF(I$4=$D10,p_Aanbet+p_Belet+p_Opbouw,0)+IF(I$4=$M10,p_Slot,0),IF(I$4=$D10,N($L10),0))</f>
        <v>0</v>
      </c>
      <c r="J10" s="12" t="n">
        <f aca="false">p_Afschr</f>
        <v>6</v>
      </c>
      <c r="K10" s="6"/>
      <c r="L10" s="16" t="n">
        <f aca="false">p_Aanbet+p_Belet+p_Opbouw+p_Slot</f>
        <v>57000</v>
      </c>
      <c r="M10" s="12" t="n">
        <f aca="false">IF($C10="Lease-koop",D10+p_SlotJr,IF($C10="Koop",D10,0))</f>
        <v>2029</v>
      </c>
      <c r="N10" s="16" t="n">
        <f aca="false">IF($C10="Lease-koop",p_Lease,0)</f>
        <v>12000</v>
      </c>
      <c r="O10" s="8"/>
      <c r="P10" s="2"/>
    </row>
    <row r="11" customFormat="false" ht="15" hidden="false" customHeight="false" outlineLevel="0" collapsed="false">
      <c r="A11" s="8" t="s">
        <v>169</v>
      </c>
      <c r="B11" s="2" t="s">
        <v>133</v>
      </c>
      <c r="C11" s="8" t="s">
        <v>63</v>
      </c>
      <c r="D11" s="12" t="n">
        <v>2028</v>
      </c>
      <c r="E11" s="12" t="n">
        <f aca="false">IF($C11="Lease-koop",D11+p_Lev,IF($C11="Koop",D11+J11,0))</f>
        <v>2036</v>
      </c>
      <c r="F11" s="16" t="n">
        <f aca="false">IF($C11="Lease-koop",IF(F$4=$D11,p_Aanbet+p_Belet+p_Opbouw,0)+IF(F$4=$M11,p_Slot,0),IF(F$4=$D11,N($L11),0))</f>
        <v>0</v>
      </c>
      <c r="G11" s="16" t="n">
        <f aca="false">IF($C11="Lease-koop",IF(G$4=$D11,p_Aanbet+p_Belet+p_Opbouw,0)+IF(G$4=$M11,p_Slot,0),IF(G$4=$D11,N($L11),0))</f>
        <v>50000</v>
      </c>
      <c r="H11" s="16" t="n">
        <f aca="false">IF($C11="Lease-koop",IF(H$4=$D11,p_Aanbet+p_Belet+p_Opbouw,0)+IF(H$4=$M11,p_Slot,0),IF(H$4=$D11,N($L11),0))</f>
        <v>0</v>
      </c>
      <c r="I11" s="16" t="n">
        <f aca="false">IF($C11="Lease-koop",IF(I$4=$D11,p_Aanbet+p_Belet+p_Opbouw,0)+IF(I$4=$M11,p_Slot,0),IF(I$4=$D11,N($L11),0))</f>
        <v>0</v>
      </c>
      <c r="J11" s="12" t="n">
        <v>8</v>
      </c>
      <c r="K11" s="6"/>
      <c r="L11" s="16" t="n">
        <v>50000</v>
      </c>
      <c r="M11" s="12" t="n">
        <f aca="false">IF($C11="Lease-koop",D11+p_SlotJr,IF($C11="Koop",D11,0))</f>
        <v>2028</v>
      </c>
      <c r="N11" s="16" t="n">
        <f aca="false">IF($C11="Lease-koop",p_Lease,0)</f>
        <v>0</v>
      </c>
      <c r="O11" s="8"/>
      <c r="P11" s="2" t="s">
        <v>170</v>
      </c>
    </row>
    <row r="12" customFormat="false" ht="15" hidden="false" customHeight="false" outlineLevel="0" collapsed="false">
      <c r="A12" s="8" t="s">
        <v>171</v>
      </c>
      <c r="B12" s="2" t="s">
        <v>79</v>
      </c>
      <c r="C12" s="8" t="s">
        <v>84</v>
      </c>
      <c r="D12" s="12" t="n">
        <v>2029</v>
      </c>
      <c r="E12" s="12" t="n">
        <f aca="false">IF($C12="Lease-koop",D12+p_Lev,IF($C12="Koop",D12+J12,0))</f>
        <v>2037</v>
      </c>
      <c r="F12" s="16" t="n">
        <f aca="false">IF($C12="Lease-koop",IF(F$4=$D12,p_Aanbet+p_Belet+p_Opbouw,0)+IF(F$4=$M12,p_Slot,0),IF(F$4=$D12,N($L12),0))</f>
        <v>0</v>
      </c>
      <c r="G12" s="16" t="n">
        <f aca="false">IF($C12="Lease-koop",IF(G$4=$D12,p_Aanbet+p_Belet+p_Opbouw,0)+IF(G$4=$M12,p_Slot,0),IF(G$4=$D12,N($L12),0))</f>
        <v>0</v>
      </c>
      <c r="H12" s="16" t="n">
        <f aca="false">IF($C12="Lease-koop",IF(H$4=$D12,p_Aanbet+p_Belet+p_Opbouw,0)+IF(H$4=$M12,p_Slot,0),IF(H$4=$D12,N($L12),0))</f>
        <v>22000</v>
      </c>
      <c r="I12" s="16" t="n">
        <f aca="false">IF($C12="Lease-koop",IF(I$4=$D12,p_Aanbet+p_Belet+p_Opbouw,0)+IF(I$4=$M12,p_Slot,0),IF(I$4=$D12,N($L12),0))</f>
        <v>0</v>
      </c>
      <c r="J12" s="12" t="n">
        <f aca="false">p_Afschr</f>
        <v>6</v>
      </c>
      <c r="K12" s="6"/>
      <c r="L12" s="16" t="n">
        <f aca="false">p_Aanbet+p_Belet+p_Opbouw+p_Slot</f>
        <v>57000</v>
      </c>
      <c r="M12" s="12" t="n">
        <f aca="false">IF($C12="Lease-koop",D12+p_SlotJr,IF($C12="Koop",D12,0))</f>
        <v>2031</v>
      </c>
      <c r="N12" s="16" t="n">
        <f aca="false">IF($C12="Lease-koop",p_Lease,0)</f>
        <v>12000</v>
      </c>
      <c r="O12" s="8"/>
      <c r="P12" s="2"/>
    </row>
    <row r="13" customFormat="false" ht="15" hidden="false" customHeight="false" outlineLevel="0" collapsed="false">
      <c r="A13" s="8" t="s">
        <v>172</v>
      </c>
      <c r="B13" s="2" t="s">
        <v>83</v>
      </c>
      <c r="C13" s="8" t="s">
        <v>63</v>
      </c>
      <c r="D13" s="12" t="n">
        <v>2029</v>
      </c>
      <c r="E13" s="12" t="n">
        <f aca="false">IF($C13="Lease-koop",D13+p_Lev,IF($C13="Koop",D13+J13,0))</f>
        <v>2049</v>
      </c>
      <c r="F13" s="16" t="n">
        <f aca="false">IF($C13="Lease-koop",IF(F$4=$D13,p_Aanbet+p_Belet+p_Opbouw,0)+IF(F$4=$M13,p_Slot,0),IF(F$4=$D13,N($L13),0))</f>
        <v>0</v>
      </c>
      <c r="G13" s="16" t="n">
        <f aca="false">IF($C13="Lease-koop",IF(G$4=$D13,p_Aanbet+p_Belet+p_Opbouw,0)+IF(G$4=$M13,p_Slot,0),IF(G$4=$D13,N($L13),0))</f>
        <v>0</v>
      </c>
      <c r="H13" s="16" t="n">
        <f aca="false">IF($C13="Lease-koop",IF(H$4=$D13,p_Aanbet+p_Belet+p_Opbouw,0)+IF(H$4=$M13,p_Slot,0),IF(H$4=$D13,N($L13),0))</f>
        <v>100000</v>
      </c>
      <c r="I13" s="16" t="n">
        <f aca="false">IF($C13="Lease-koop",IF(I$4=$D13,p_Aanbet+p_Belet+p_Opbouw,0)+IF(I$4=$M13,p_Slot,0),IF(I$4=$D13,N($L13),0))</f>
        <v>0</v>
      </c>
      <c r="J13" s="12" t="n">
        <v>20</v>
      </c>
      <c r="K13" s="6"/>
      <c r="L13" s="16" t="n">
        <v>100000</v>
      </c>
      <c r="M13" s="12" t="n">
        <f aca="false">IF($C13="Lease-koop",D13+p_SlotJr,IF($C13="Koop",D13,0))</f>
        <v>2029</v>
      </c>
      <c r="N13" s="16" t="n">
        <f aca="false">IF($C13="Lease-koop",p_Lease,0)</f>
        <v>0</v>
      </c>
      <c r="O13" s="8"/>
      <c r="P13" s="2"/>
    </row>
    <row r="14" customFormat="false" ht="15" hidden="false" customHeight="false" outlineLevel="0" collapsed="false">
      <c r="A14" s="8" t="s">
        <v>173</v>
      </c>
      <c r="B14" s="2" t="s">
        <v>141</v>
      </c>
      <c r="C14" s="8" t="s">
        <v>84</v>
      </c>
      <c r="D14" s="12" t="n">
        <v>2031</v>
      </c>
      <c r="E14" s="12" t="n">
        <f aca="false">IF($C14="Lease-koop",D14+p_Lev,IF($C14="Koop",D14+J14,0))</f>
        <v>2039</v>
      </c>
      <c r="F14" s="16" t="n">
        <f aca="false">IF($C14="Lease-koop",IF(F$4=$D14,p_Aanbet+p_Belet+p_Opbouw,0)+IF(F$4=$M14,p_Slot,0),IF(F$4=$D14,N($L14),0))</f>
        <v>0</v>
      </c>
      <c r="G14" s="16" t="n">
        <f aca="false">IF($C14="Lease-koop",IF(G$4=$D14,p_Aanbet+p_Belet+p_Opbouw,0)+IF(G$4=$M14,p_Slot,0),IF(G$4=$D14,N($L14),0))</f>
        <v>0</v>
      </c>
      <c r="H14" s="16" t="n">
        <f aca="false">IF($C14="Lease-koop",IF(H$4=$D14,p_Aanbet+p_Belet+p_Opbouw,0)+IF(H$4=$M14,p_Slot,0),IF(H$4=$D14,N($L14),0))</f>
        <v>0</v>
      </c>
      <c r="I14" s="16" t="n">
        <f aca="false">IF($C14="Lease-koop",IF(I$4=$D14,p_Aanbet+p_Belet+p_Opbouw,0)+IF(I$4=$M14,p_Slot,0),IF(I$4=$D14,N($L14),0))</f>
        <v>0</v>
      </c>
      <c r="J14" s="12" t="n">
        <f aca="false">p_Afschr</f>
        <v>6</v>
      </c>
      <c r="K14" s="6"/>
      <c r="L14" s="16" t="n">
        <f aca="false">p_Aanbet+p_Belet+p_Opbouw+p_Slot</f>
        <v>57000</v>
      </c>
      <c r="M14" s="12" t="n">
        <f aca="false">IF($C14="Lease-koop",D14+p_SlotJr,IF($C14="Koop",D14,0))</f>
        <v>2033</v>
      </c>
      <c r="N14" s="16" t="n">
        <f aca="false">IF($C14="Lease-koop",p_Lease,0)</f>
        <v>12000</v>
      </c>
      <c r="O14" s="8"/>
      <c r="P14" s="2"/>
    </row>
    <row r="15" customFormat="false" ht="15" hidden="false" customHeight="false" outlineLevel="0" collapsed="false">
      <c r="A15" s="8" t="s">
        <v>174</v>
      </c>
      <c r="B15" s="2" t="s">
        <v>62</v>
      </c>
      <c r="C15" s="8" t="s">
        <v>63</v>
      </c>
      <c r="D15" s="12" t="n">
        <v>2032</v>
      </c>
      <c r="E15" s="12" t="n">
        <f aca="false">IF($C15="Lease-koop",D15+p_Lev,IF($C15="Koop",D15+J15,0))</f>
        <v>2040</v>
      </c>
      <c r="F15" s="16" t="n">
        <f aca="false">IF($C15="Lease-koop",IF(F$4=$D15,p_Aanbet+p_Belet+p_Opbouw,0)+IF(F$4=$M15,p_Slot,0),IF(F$4=$D15,N($L15),0))</f>
        <v>0</v>
      </c>
      <c r="G15" s="16" t="n">
        <f aca="false">IF($C15="Lease-koop",IF(G$4=$D15,p_Aanbet+p_Belet+p_Opbouw,0)+IF(G$4=$M15,p_Slot,0),IF(G$4=$D15,N($L15),0))</f>
        <v>0</v>
      </c>
      <c r="H15" s="16" t="n">
        <f aca="false">IF($C15="Lease-koop",IF(H$4=$D15,p_Aanbet+p_Belet+p_Opbouw,0)+IF(H$4=$M15,p_Slot,0),IF(H$4=$D15,N($L15),0))</f>
        <v>0</v>
      </c>
      <c r="I15" s="16" t="n">
        <f aca="false">IF($C15="Lease-koop",IF(I$4=$D15,p_Aanbet+p_Belet+p_Opbouw,0)+IF(I$4=$M15,p_Slot,0),IF(I$4=$D15,N($L15),0))</f>
        <v>0</v>
      </c>
      <c r="J15" s="12" t="n">
        <v>8</v>
      </c>
      <c r="K15" s="6"/>
      <c r="L15" s="16" t="n">
        <v>248960</v>
      </c>
      <c r="M15" s="12" t="n">
        <f aca="false">IF($C15="Lease-koop",D15+p_SlotJr,IF($C15="Koop",D15,0))</f>
        <v>2032</v>
      </c>
      <c r="N15" s="16" t="n">
        <f aca="false">IF($C15="Lease-koop",p_Lease,0)</f>
        <v>0</v>
      </c>
      <c r="O15" s="8"/>
      <c r="P15" s="2"/>
    </row>
    <row r="16" customFormat="false" ht="15" hidden="false" customHeight="false" outlineLevel="0" collapsed="false">
      <c r="A16" s="8" t="s">
        <v>175</v>
      </c>
      <c r="B16" s="2" t="s">
        <v>62</v>
      </c>
      <c r="C16" s="8" t="s">
        <v>176</v>
      </c>
      <c r="D16" s="12" t="n">
        <v>2032</v>
      </c>
      <c r="E16" s="12" t="n">
        <f aca="false">IF($C16="Lease-koop",D16+p_Lev,IF($C16="Koop",D16+J16,0))</f>
        <v>0</v>
      </c>
      <c r="F16" s="16" t="n">
        <f aca="false">IF($C16="Lease-koop",IF(F$4=$D16,p_Aanbet+p_Belet+p_Opbouw,0)+IF(F$4=$M16,p_Slot,0),IF(F$4=$D16,N($L16),0))</f>
        <v>0</v>
      </c>
      <c r="G16" s="16" t="n">
        <f aca="false">IF($C16="Lease-koop",IF(G$4=$D16,p_Aanbet+p_Belet+p_Opbouw,0)+IF(G$4=$M16,p_Slot,0),IF(G$4=$D16,N($L16),0))</f>
        <v>0</v>
      </c>
      <c r="H16" s="16" t="n">
        <f aca="false">IF($C16="Lease-koop",IF(H$4=$D16,p_Aanbet+p_Belet+p_Opbouw,0)+IF(H$4=$M16,p_Slot,0),IF(H$4=$D16,N($L16),0))</f>
        <v>0</v>
      </c>
      <c r="I16" s="16" t="n">
        <f aca="false">IF($C16="Lease-koop",IF(I$4=$D16,p_Aanbet+p_Belet+p_Opbouw,0)+IF(I$4=$M16,p_Slot,0),IF(I$4=$D16,N($L16),0))</f>
        <v>0</v>
      </c>
      <c r="J16" s="12"/>
      <c r="K16" s="8"/>
      <c r="L16" s="16"/>
      <c r="M16" s="12" t="n">
        <f aca="false">IF($C16="Lease-koop",D16+p_SlotJr,IF($C16="Koop",D16,0))</f>
        <v>0</v>
      </c>
      <c r="N16" s="16" t="n">
        <f aca="false">IF($C16="Lease-koop",p_Lease,0)</f>
        <v>0</v>
      </c>
      <c r="O16" s="8"/>
      <c r="P16" s="2" t="s">
        <v>177</v>
      </c>
    </row>
    <row r="17" customFormat="false" ht="15" hidden="false" customHeight="false" outlineLevel="0" collapsed="false">
      <c r="A17" s="8" t="s">
        <v>178</v>
      </c>
      <c r="B17" s="2" t="s">
        <v>75</v>
      </c>
      <c r="C17" s="8" t="s">
        <v>84</v>
      </c>
      <c r="D17" s="12" t="n">
        <v>2032</v>
      </c>
      <c r="E17" s="12" t="n">
        <f aca="false">IF($C17="Lease-koop",D17+p_Lev,IF($C17="Koop",D17+J17,0))</f>
        <v>2040</v>
      </c>
      <c r="F17" s="16" t="n">
        <f aca="false">IF($C17="Lease-koop",IF(F$4=$D17,p_Aanbet+p_Belet+p_Opbouw,0)+IF(F$4=$M17,p_Slot,0),IF(F$4=$D17,N($L17),0))</f>
        <v>0</v>
      </c>
      <c r="G17" s="16" t="n">
        <f aca="false">IF($C17="Lease-koop",IF(G$4=$D17,p_Aanbet+p_Belet+p_Opbouw,0)+IF(G$4=$M17,p_Slot,0),IF(G$4=$D17,N($L17),0))</f>
        <v>0</v>
      </c>
      <c r="H17" s="16" t="n">
        <f aca="false">IF($C17="Lease-koop",IF(H$4=$D17,p_Aanbet+p_Belet+p_Opbouw,0)+IF(H$4=$M17,p_Slot,0),IF(H$4=$D17,N($L17),0))</f>
        <v>0</v>
      </c>
      <c r="I17" s="16" t="n">
        <f aca="false">IF($C17="Lease-koop",IF(I$4=$D17,p_Aanbet+p_Belet+p_Opbouw,0)+IF(I$4=$M17,p_Slot,0),IF(I$4=$D17,N($L17),0))</f>
        <v>0</v>
      </c>
      <c r="J17" s="12" t="n">
        <f aca="false">p_Afschr</f>
        <v>6</v>
      </c>
      <c r="K17" s="6"/>
      <c r="L17" s="16" t="n">
        <f aca="false">p_Aanbet+p_Belet+p_Opbouw+p_Slot</f>
        <v>57000</v>
      </c>
      <c r="M17" s="12" t="n">
        <f aca="false">IF($C17="Lease-koop",D17+p_SlotJr,IF($C17="Koop",D17,0))</f>
        <v>2034</v>
      </c>
      <c r="N17" s="16" t="n">
        <f aca="false">IF($C17="Lease-koop",p_Lease,0)</f>
        <v>12000</v>
      </c>
      <c r="O17" s="8"/>
      <c r="P17" s="2"/>
    </row>
    <row r="18" customFormat="false" ht="15" hidden="false" customHeight="false" outlineLevel="0" collapsed="false">
      <c r="A18" s="8" t="s">
        <v>179</v>
      </c>
      <c r="B18" s="2" t="s">
        <v>79</v>
      </c>
      <c r="C18" s="8" t="s">
        <v>84</v>
      </c>
      <c r="D18" s="12" t="n">
        <v>2032</v>
      </c>
      <c r="E18" s="12" t="n">
        <f aca="false">IF($C18="Lease-koop",D18+p_Lev,IF($C18="Koop",D18+J18,0))</f>
        <v>2040</v>
      </c>
      <c r="F18" s="16" t="n">
        <f aca="false">IF($C18="Lease-koop",IF(F$4=$D18,p_Aanbet+p_Belet+p_Opbouw,0)+IF(F$4=$M18,p_Slot,0),IF(F$4=$D18,N($L18),0))</f>
        <v>0</v>
      </c>
      <c r="G18" s="16" t="n">
        <f aca="false">IF($C18="Lease-koop",IF(G$4=$D18,p_Aanbet+p_Belet+p_Opbouw,0)+IF(G$4=$M18,p_Slot,0),IF(G$4=$D18,N($L18),0))</f>
        <v>0</v>
      </c>
      <c r="H18" s="16" t="n">
        <f aca="false">IF($C18="Lease-koop",IF(H$4=$D18,p_Aanbet+p_Belet+p_Opbouw,0)+IF(H$4=$M18,p_Slot,0),IF(H$4=$D18,N($L18),0))</f>
        <v>0</v>
      </c>
      <c r="I18" s="16" t="n">
        <f aca="false">IF($C18="Lease-koop",IF(I$4=$D18,p_Aanbet+p_Belet+p_Opbouw,0)+IF(I$4=$M18,p_Slot,0),IF(I$4=$D18,N($L18),0))</f>
        <v>0</v>
      </c>
      <c r="J18" s="12" t="n">
        <f aca="false">p_Afschr</f>
        <v>6</v>
      </c>
      <c r="K18" s="6"/>
      <c r="L18" s="16" t="n">
        <f aca="false">p_Aanbet+p_Belet+p_Opbouw+p_Slot</f>
        <v>57000</v>
      </c>
      <c r="M18" s="12" t="n">
        <f aca="false">IF($C18="Lease-koop",D18+p_SlotJr,IF($C18="Koop",D18,0))</f>
        <v>2034</v>
      </c>
      <c r="N18" s="16" t="n">
        <f aca="false">IF($C18="Lease-koop",p_Lease,0)</f>
        <v>12000</v>
      </c>
      <c r="O18" s="8"/>
      <c r="P18" s="2"/>
    </row>
    <row r="19" customFormat="false" ht="15" hidden="false" customHeight="false" outlineLevel="0" collapsed="false">
      <c r="A19" s="8" t="s">
        <v>180</v>
      </c>
      <c r="B19" s="2" t="s">
        <v>103</v>
      </c>
      <c r="C19" s="8" t="s">
        <v>84</v>
      </c>
      <c r="D19" s="12" t="n">
        <v>2032</v>
      </c>
      <c r="E19" s="12" t="n">
        <f aca="false">IF($C19="Lease-koop",D19+p_Lev,IF($C19="Koop",D19+J19,0))</f>
        <v>2040</v>
      </c>
      <c r="F19" s="16" t="n">
        <f aca="false">IF($C19="Lease-koop",IF(F$4=$D19,p_Aanbet+p_Belet+p_Opbouw,0)+IF(F$4=$M19,p_Slot,0),IF(F$4=$D19,N($L19),0))</f>
        <v>0</v>
      </c>
      <c r="G19" s="16" t="n">
        <f aca="false">IF($C19="Lease-koop",IF(G$4=$D19,p_Aanbet+p_Belet+p_Opbouw,0)+IF(G$4=$M19,p_Slot,0),IF(G$4=$D19,N($L19),0))</f>
        <v>0</v>
      </c>
      <c r="H19" s="16" t="n">
        <f aca="false">IF($C19="Lease-koop",IF(H$4=$D19,p_Aanbet+p_Belet+p_Opbouw,0)+IF(H$4=$M19,p_Slot,0),IF(H$4=$D19,N($L19),0))</f>
        <v>0</v>
      </c>
      <c r="I19" s="16" t="n">
        <f aca="false">IF($C19="Lease-koop",IF(I$4=$D19,p_Aanbet+p_Belet+p_Opbouw,0)+IF(I$4=$M19,p_Slot,0),IF(I$4=$D19,N($L19),0))</f>
        <v>0</v>
      </c>
      <c r="J19" s="12" t="n">
        <f aca="false">p_Afschr</f>
        <v>6</v>
      </c>
      <c r="K19" s="6"/>
      <c r="L19" s="16" t="n">
        <f aca="false">p_Aanbet+p_Belet+p_Opbouw+p_Slot</f>
        <v>57000</v>
      </c>
      <c r="M19" s="12" t="n">
        <f aca="false">IF($C19="Lease-koop",D19+p_SlotJr,IF($C19="Koop",D19,0))</f>
        <v>2034</v>
      </c>
      <c r="N19" s="16" t="n">
        <f aca="false">IF($C19="Lease-koop",p_Lease,0)</f>
        <v>12000</v>
      </c>
      <c r="O19" s="8"/>
      <c r="P19" s="2"/>
    </row>
    <row r="20" customFormat="false" ht="15" hidden="false" customHeight="false" outlineLevel="0" collapsed="false">
      <c r="A20" s="8" t="s">
        <v>181</v>
      </c>
      <c r="B20" s="2" t="s">
        <v>98</v>
      </c>
      <c r="C20" s="8" t="s">
        <v>84</v>
      </c>
      <c r="D20" s="12" t="n">
        <v>2033</v>
      </c>
      <c r="E20" s="12" t="n">
        <f aca="false">IF($C20="Lease-koop",D20+p_Lev,IF($C20="Koop",D20+J20,0))</f>
        <v>2041</v>
      </c>
      <c r="F20" s="16" t="n">
        <f aca="false">IF($C20="Lease-koop",IF(F$4=$D20,p_Aanbet+p_Belet+p_Opbouw,0)+IF(F$4=$M20,p_Slot,0),IF(F$4=$D20,N($L20),0))</f>
        <v>0</v>
      </c>
      <c r="G20" s="16" t="n">
        <f aca="false">IF($C20="Lease-koop",IF(G$4=$D20,p_Aanbet+p_Belet+p_Opbouw,0)+IF(G$4=$M20,p_Slot,0),IF(G$4=$D20,N($L20),0))</f>
        <v>0</v>
      </c>
      <c r="H20" s="16" t="n">
        <f aca="false">IF($C20="Lease-koop",IF(H$4=$D20,p_Aanbet+p_Belet+p_Opbouw,0)+IF(H$4=$M20,p_Slot,0),IF(H$4=$D20,N($L20),0))</f>
        <v>0</v>
      </c>
      <c r="I20" s="16" t="n">
        <f aca="false">IF($C20="Lease-koop",IF(I$4=$D20,p_Aanbet+p_Belet+p_Opbouw,0)+IF(I$4=$M20,p_Slot,0),IF(I$4=$D20,N($L20),0))</f>
        <v>0</v>
      </c>
      <c r="J20" s="12" t="n">
        <f aca="false">p_Afschr</f>
        <v>6</v>
      </c>
      <c r="K20" s="6"/>
      <c r="L20" s="16" t="n">
        <f aca="false">p_Aanbet+p_Belet+p_Opbouw+p_Slot</f>
        <v>57000</v>
      </c>
      <c r="M20" s="12" t="n">
        <f aca="false">IF($C20="Lease-koop",D20+p_SlotJr,IF($C20="Koop",D20,0))</f>
        <v>2035</v>
      </c>
      <c r="N20" s="16" t="n">
        <f aca="false">IF($C20="Lease-koop",p_Lease,0)</f>
        <v>12000</v>
      </c>
      <c r="O20" s="8"/>
      <c r="P20" s="2"/>
    </row>
    <row r="21" customFormat="false" ht="15" hidden="false" customHeight="false" outlineLevel="0" collapsed="false">
      <c r="A21" s="8" t="s">
        <v>182</v>
      </c>
      <c r="B21" s="2" t="s">
        <v>133</v>
      </c>
      <c r="C21" s="8" t="s">
        <v>63</v>
      </c>
      <c r="D21" s="12" t="n">
        <v>2033</v>
      </c>
      <c r="E21" s="12" t="n">
        <f aca="false">IF($C21="Lease-koop",D21+p_Lev,IF($C21="Koop",D21+J21,0))</f>
        <v>2043</v>
      </c>
      <c r="F21" s="16" t="n">
        <f aca="false">IF($C21="Lease-koop",IF(F$4=$D21,p_Aanbet+p_Belet+p_Opbouw,0)+IF(F$4=$M21,p_Slot,0),IF(F$4=$D21,N($L21),0))</f>
        <v>0</v>
      </c>
      <c r="G21" s="16" t="n">
        <f aca="false">IF($C21="Lease-koop",IF(G$4=$D21,p_Aanbet+p_Belet+p_Opbouw,0)+IF(G$4=$M21,p_Slot,0),IF(G$4=$D21,N($L21),0))</f>
        <v>0</v>
      </c>
      <c r="H21" s="16" t="n">
        <f aca="false">IF($C21="Lease-koop",IF(H$4=$D21,p_Aanbet+p_Belet+p_Opbouw,0)+IF(H$4=$M21,p_Slot,0),IF(H$4=$D21,N($L21),0))</f>
        <v>0</v>
      </c>
      <c r="I21" s="16" t="n">
        <f aca="false">IF($C21="Lease-koop",IF(I$4=$D21,p_Aanbet+p_Belet+p_Opbouw,0)+IF(I$4=$M21,p_Slot,0),IF(I$4=$D21,N($L21),0))</f>
        <v>0</v>
      </c>
      <c r="J21" s="12" t="n">
        <v>10</v>
      </c>
      <c r="K21" s="6"/>
      <c r="L21" s="16" t="n">
        <v>19000</v>
      </c>
      <c r="M21" s="12" t="n">
        <f aca="false">IF($C21="Lease-koop",D21+p_SlotJr,IF($C21="Koop",D21,0))</f>
        <v>2033</v>
      </c>
      <c r="N21" s="16" t="n">
        <f aca="false">IF($C21="Lease-koop",p_Lease,0)</f>
        <v>0</v>
      </c>
      <c r="O21" s="8"/>
      <c r="P21" s="2"/>
    </row>
    <row r="22" customFormat="false" ht="15" hidden="false" customHeight="false" outlineLevel="0" collapsed="false">
      <c r="A22" s="8" t="s">
        <v>183</v>
      </c>
      <c r="B22" s="2" t="s">
        <v>83</v>
      </c>
      <c r="C22" s="8" t="s">
        <v>84</v>
      </c>
      <c r="D22" s="12" t="n">
        <v>2034</v>
      </c>
      <c r="E22" s="12" t="n">
        <f aca="false">IF($C22="Lease-koop",D22+p_Lev,IF($C22="Koop",D22+J22,0))</f>
        <v>2042</v>
      </c>
      <c r="F22" s="16" t="n">
        <f aca="false">IF($C22="Lease-koop",IF(F$4=$D22,p_Aanbet+p_Belet+p_Opbouw,0)+IF(F$4=$M22,p_Slot,0),IF(F$4=$D22,N($L22),0))</f>
        <v>0</v>
      </c>
      <c r="G22" s="16" t="n">
        <f aca="false">IF($C22="Lease-koop",IF(G$4=$D22,p_Aanbet+p_Belet+p_Opbouw,0)+IF(G$4=$M22,p_Slot,0),IF(G$4=$D22,N($L22),0))</f>
        <v>0</v>
      </c>
      <c r="H22" s="16" t="n">
        <f aca="false">IF($C22="Lease-koop",IF(H$4=$D22,p_Aanbet+p_Belet+p_Opbouw,0)+IF(H$4=$M22,p_Slot,0),IF(H$4=$D22,N($L22),0))</f>
        <v>0</v>
      </c>
      <c r="I22" s="16" t="n">
        <f aca="false">IF($C22="Lease-koop",IF(I$4=$D22,p_Aanbet+p_Belet+p_Opbouw,0)+IF(I$4=$M22,p_Slot,0),IF(I$4=$D22,N($L22),0))</f>
        <v>0</v>
      </c>
      <c r="J22" s="12" t="n">
        <f aca="false">p_Afschr</f>
        <v>6</v>
      </c>
      <c r="K22" s="6"/>
      <c r="L22" s="16" t="n">
        <f aca="false">p_Aanbet+p_Belet+p_Opbouw+p_Slot</f>
        <v>57000</v>
      </c>
      <c r="M22" s="12" t="n">
        <f aca="false">IF($C22="Lease-koop",D22+p_SlotJr,IF($C22="Koop",D22,0))</f>
        <v>2036</v>
      </c>
      <c r="N22" s="16" t="n">
        <f aca="false">IF($C22="Lease-koop",p_Lease,0)</f>
        <v>12000</v>
      </c>
      <c r="O22" s="8" t="n">
        <v>635901</v>
      </c>
      <c r="P22" s="2"/>
    </row>
    <row r="23" customFormat="false" ht="15" hidden="false" customHeight="false" outlineLevel="0" collapsed="false">
      <c r="A23" s="8" t="s">
        <v>184</v>
      </c>
      <c r="B23" s="2" t="s">
        <v>75</v>
      </c>
      <c r="C23" s="8" t="s">
        <v>84</v>
      </c>
      <c r="D23" s="12" t="n">
        <v>2034</v>
      </c>
      <c r="E23" s="12" t="n">
        <f aca="false">IF($C23="Lease-koop",D23+p_Lev,IF($C23="Koop",D23+J23,0))</f>
        <v>2042</v>
      </c>
      <c r="F23" s="16" t="n">
        <f aca="false">IF($C23="Lease-koop",IF(F$4=$D23,p_Aanbet+p_Belet+p_Opbouw,0)+IF(F$4=$M23,p_Slot,0),IF(F$4=$D23,N($L23),0))</f>
        <v>0</v>
      </c>
      <c r="G23" s="16" t="n">
        <f aca="false">IF($C23="Lease-koop",IF(G$4=$D23,p_Aanbet+p_Belet+p_Opbouw,0)+IF(G$4=$M23,p_Slot,0),IF(G$4=$D23,N($L23),0))</f>
        <v>0</v>
      </c>
      <c r="H23" s="16" t="n">
        <f aca="false">IF($C23="Lease-koop",IF(H$4=$D23,p_Aanbet+p_Belet+p_Opbouw,0)+IF(H$4=$M23,p_Slot,0),IF(H$4=$D23,N($L23),0))</f>
        <v>0</v>
      </c>
      <c r="I23" s="16" t="n">
        <f aca="false">IF($C23="Lease-koop",IF(I$4=$D23,p_Aanbet+p_Belet+p_Opbouw,0)+IF(I$4=$M23,p_Slot,0),IF(I$4=$D23,N($L23),0))</f>
        <v>0</v>
      </c>
      <c r="J23" s="12" t="n">
        <f aca="false">p_Afschr</f>
        <v>6</v>
      </c>
      <c r="K23" s="6"/>
      <c r="L23" s="16" t="n">
        <f aca="false">p_Aanbet+p_Belet+p_Opbouw+p_Slot</f>
        <v>57000</v>
      </c>
      <c r="M23" s="12" t="n">
        <f aca="false">IF($C23="Lease-koop",D23+p_SlotJr,IF($C23="Koop",D23,0))</f>
        <v>2036</v>
      </c>
      <c r="N23" s="16" t="n">
        <f aca="false">IF($C23="Lease-koop",p_Lease,0)</f>
        <v>12000</v>
      </c>
      <c r="O23" s="8" t="n">
        <v>617901</v>
      </c>
      <c r="P23" s="2"/>
    </row>
    <row r="24" customFormat="false" ht="15" hidden="false" customHeight="false" outlineLevel="0" collapsed="false">
      <c r="A24" s="8" t="s">
        <v>185</v>
      </c>
      <c r="B24" s="2" t="s">
        <v>83</v>
      </c>
      <c r="C24" s="8" t="s">
        <v>84</v>
      </c>
      <c r="D24" s="12" t="n">
        <v>2034</v>
      </c>
      <c r="E24" s="12" t="n">
        <f aca="false">IF($C24="Lease-koop",D24+p_Lev,IF($C24="Koop",D24+J24,0))</f>
        <v>2042</v>
      </c>
      <c r="F24" s="16" t="n">
        <f aca="false">IF($C24="Lease-koop",IF(F$4=$D24,p_Aanbet+p_Belet+p_Opbouw,0)+IF(F$4=$M24,p_Slot,0),IF(F$4=$D24,N($L24),0))</f>
        <v>0</v>
      </c>
      <c r="G24" s="16" t="n">
        <f aca="false">IF($C24="Lease-koop",IF(G$4=$D24,p_Aanbet+p_Belet+p_Opbouw,0)+IF(G$4=$M24,p_Slot,0),IF(G$4=$D24,N($L24),0))</f>
        <v>0</v>
      </c>
      <c r="H24" s="16" t="n">
        <f aca="false">IF($C24="Lease-koop",IF(H$4=$D24,p_Aanbet+p_Belet+p_Opbouw,0)+IF(H$4=$M24,p_Slot,0),IF(H$4=$D24,N($L24),0))</f>
        <v>0</v>
      </c>
      <c r="I24" s="16" t="n">
        <f aca="false">IF($C24="Lease-koop",IF(I$4=$D24,p_Aanbet+p_Belet+p_Opbouw,0)+IF(I$4=$M24,p_Slot,0),IF(I$4=$D24,N($L24),0))</f>
        <v>0</v>
      </c>
      <c r="J24" s="12" t="n">
        <f aca="false">p_Afschr</f>
        <v>6</v>
      </c>
      <c r="K24" s="6"/>
      <c r="L24" s="16" t="n">
        <f aca="false">p_Aanbet+p_Belet+p_Opbouw+p_Slot</f>
        <v>57000</v>
      </c>
      <c r="M24" s="12" t="n">
        <f aca="false">IF($C24="Lease-koop",D24+p_SlotJr,IF($C24="Koop",D24,0))</f>
        <v>2036</v>
      </c>
      <c r="N24" s="16" t="n">
        <f aca="false">IF($C24="Lease-koop",p_Lease,0)</f>
        <v>12000</v>
      </c>
      <c r="O24" s="8" t="n">
        <v>635901</v>
      </c>
      <c r="P24" s="2"/>
    </row>
    <row r="25" customFormat="false" ht="15" hidden="false" customHeight="false" outlineLevel="0" collapsed="false">
      <c r="A25" s="8" t="s">
        <v>186</v>
      </c>
      <c r="B25" s="2" t="s">
        <v>113</v>
      </c>
      <c r="C25" s="8" t="s">
        <v>84</v>
      </c>
      <c r="D25" s="12" t="n">
        <v>2034</v>
      </c>
      <c r="E25" s="12" t="n">
        <f aca="false">IF($C25="Lease-koop",D25+p_Lev,IF($C25="Koop",D25+J25,0))</f>
        <v>2042</v>
      </c>
      <c r="F25" s="16" t="n">
        <f aca="false">IF($C25="Lease-koop",IF(F$4=$D25,p_Aanbet+p_Belet+p_Opbouw,0)+IF(F$4=$M25,p_Slot,0),IF(F$4=$D25,N($L25),0))</f>
        <v>0</v>
      </c>
      <c r="G25" s="16" t="n">
        <f aca="false">IF($C25="Lease-koop",IF(G$4=$D25,p_Aanbet+p_Belet+p_Opbouw,0)+IF(G$4=$M25,p_Slot,0),IF(G$4=$D25,N($L25),0))</f>
        <v>0</v>
      </c>
      <c r="H25" s="16" t="n">
        <f aca="false">IF($C25="Lease-koop",IF(H$4=$D25,p_Aanbet+p_Belet+p_Opbouw,0)+IF(H$4=$M25,p_Slot,0),IF(H$4=$D25,N($L25),0))</f>
        <v>0</v>
      </c>
      <c r="I25" s="16" t="n">
        <f aca="false">IF($C25="Lease-koop",IF(I$4=$D25,p_Aanbet+p_Belet+p_Opbouw,0)+IF(I$4=$M25,p_Slot,0),IF(I$4=$D25,N($L25),0))</f>
        <v>0</v>
      </c>
      <c r="J25" s="12" t="n">
        <f aca="false">p_Afschr</f>
        <v>6</v>
      </c>
      <c r="K25" s="6"/>
      <c r="L25" s="16" t="n">
        <f aca="false">p_Aanbet+p_Belet+p_Opbouw+p_Slot</f>
        <v>57000</v>
      </c>
      <c r="M25" s="12" t="n">
        <f aca="false">IF($C25="Lease-koop",D25+p_SlotJr,IF($C25="Koop",D25,0))</f>
        <v>2036</v>
      </c>
      <c r="N25" s="16" t="n">
        <f aca="false">IF($C25="Lease-koop",p_Lease,0)</f>
        <v>12000</v>
      </c>
      <c r="O25" s="8" t="n">
        <v>604901</v>
      </c>
      <c r="P25" s="2"/>
    </row>
    <row r="26" customFormat="false" ht="15" hidden="false" customHeight="false" outlineLevel="0" collapsed="false">
      <c r="A26" s="8" t="s">
        <v>187</v>
      </c>
      <c r="B26" s="2" t="s">
        <v>116</v>
      </c>
      <c r="C26" s="8" t="s">
        <v>84</v>
      </c>
      <c r="D26" s="12" t="n">
        <v>2034</v>
      </c>
      <c r="E26" s="12" t="n">
        <f aca="false">IF($C26="Lease-koop",D26+p_Lev,IF($C26="Koop",D26+J26,0))</f>
        <v>2042</v>
      </c>
      <c r="F26" s="16" t="n">
        <f aca="false">IF($C26="Lease-koop",IF(F$4=$D26,p_Aanbet+p_Belet+p_Opbouw,0)+IF(F$4=$M26,p_Slot,0),IF(F$4=$D26,N($L26),0))</f>
        <v>0</v>
      </c>
      <c r="G26" s="16" t="n">
        <f aca="false">IF($C26="Lease-koop",IF(G$4=$D26,p_Aanbet+p_Belet+p_Opbouw,0)+IF(G$4=$M26,p_Slot,0),IF(G$4=$D26,N($L26),0))</f>
        <v>0</v>
      </c>
      <c r="H26" s="16" t="n">
        <f aca="false">IF($C26="Lease-koop",IF(H$4=$D26,p_Aanbet+p_Belet+p_Opbouw,0)+IF(H$4=$M26,p_Slot,0),IF(H$4=$D26,N($L26),0))</f>
        <v>0</v>
      </c>
      <c r="I26" s="16" t="n">
        <f aca="false">IF($C26="Lease-koop",IF(I$4=$D26,p_Aanbet+p_Belet+p_Opbouw,0)+IF(I$4=$M26,p_Slot,0),IF(I$4=$D26,N($L26),0))</f>
        <v>0</v>
      </c>
      <c r="J26" s="12" t="n">
        <f aca="false">p_Afschr</f>
        <v>6</v>
      </c>
      <c r="K26" s="6"/>
      <c r="L26" s="16" t="n">
        <f aca="false">p_Aanbet+p_Belet+p_Opbouw+p_Slot</f>
        <v>57000</v>
      </c>
      <c r="M26" s="12" t="n">
        <f aca="false">IF($C26="Lease-koop",D26+p_SlotJr,IF($C26="Koop",D26,0))</f>
        <v>2036</v>
      </c>
      <c r="N26" s="16" t="n">
        <f aca="false">IF($C26="Lease-koop",p_Lease,0)</f>
        <v>12000</v>
      </c>
      <c r="O26" s="8" t="n">
        <v>630901</v>
      </c>
      <c r="P26" s="2"/>
    </row>
    <row r="27" customFormat="false" ht="15" hidden="false" customHeight="false" outlineLevel="0" collapsed="false">
      <c r="A27" s="8" t="s">
        <v>188</v>
      </c>
      <c r="B27" s="2" t="s">
        <v>120</v>
      </c>
      <c r="C27" s="8" t="s">
        <v>84</v>
      </c>
      <c r="D27" s="12" t="n">
        <v>2034</v>
      </c>
      <c r="E27" s="12" t="n">
        <f aca="false">IF($C27="Lease-koop",D27+p_Lev,IF($C27="Koop",D27+J27,0))</f>
        <v>2042</v>
      </c>
      <c r="F27" s="16" t="n">
        <f aca="false">IF($C27="Lease-koop",IF(F$4=$D27,p_Aanbet+p_Belet+p_Opbouw,0)+IF(F$4=$M27,p_Slot,0),IF(F$4=$D27,N($L27),0))</f>
        <v>0</v>
      </c>
      <c r="G27" s="16" t="n">
        <f aca="false">IF($C27="Lease-koop",IF(G$4=$D27,p_Aanbet+p_Belet+p_Opbouw,0)+IF(G$4=$M27,p_Slot,0),IF(G$4=$D27,N($L27),0))</f>
        <v>0</v>
      </c>
      <c r="H27" s="16" t="n">
        <f aca="false">IF($C27="Lease-koop",IF(H$4=$D27,p_Aanbet+p_Belet+p_Opbouw,0)+IF(H$4=$M27,p_Slot,0),IF(H$4=$D27,N($L27),0))</f>
        <v>0</v>
      </c>
      <c r="I27" s="16" t="n">
        <f aca="false">IF($C27="Lease-koop",IF(I$4=$D27,p_Aanbet+p_Belet+p_Opbouw,0)+IF(I$4=$M27,p_Slot,0),IF(I$4=$D27,N($L27),0))</f>
        <v>0</v>
      </c>
      <c r="J27" s="12" t="n">
        <f aca="false">p_Afschr</f>
        <v>6</v>
      </c>
      <c r="K27" s="6"/>
      <c r="L27" s="16" t="n">
        <f aca="false">p_Aanbet+p_Belet+p_Opbouw+p_Slot</f>
        <v>57000</v>
      </c>
      <c r="M27" s="12" t="n">
        <f aca="false">IF($C27="Lease-koop",D27+p_SlotJr,IF($C27="Koop",D27,0))</f>
        <v>2036</v>
      </c>
      <c r="N27" s="16" t="n">
        <f aca="false">IF($C27="Lease-koop",p_Lease,0)</f>
        <v>12000</v>
      </c>
      <c r="O27" s="8" t="n">
        <v>604901</v>
      </c>
      <c r="P27" s="2"/>
    </row>
    <row r="28" customFormat="false" ht="15" hidden="false" customHeight="false" outlineLevel="0" collapsed="false">
      <c r="A28" s="8" t="s">
        <v>189</v>
      </c>
      <c r="B28" s="2" t="s">
        <v>116</v>
      </c>
      <c r="C28" s="8" t="s">
        <v>63</v>
      </c>
      <c r="D28" s="12" t="n">
        <v>2034</v>
      </c>
      <c r="E28" s="12" t="n">
        <f aca="false">IF($C28="Lease-koop",D28+p_Lev,IF($C28="Koop",D28+J28,0))</f>
        <v>2044</v>
      </c>
      <c r="F28" s="16" t="n">
        <f aca="false">IF($C28="Lease-koop",IF(F$4=$D28,p_Aanbet+p_Belet+p_Opbouw,0)+IF(F$4=$M28,p_Slot,0),IF(F$4=$D28,N($L28),0))</f>
        <v>0</v>
      </c>
      <c r="G28" s="16" t="n">
        <f aca="false">IF($C28="Lease-koop",IF(G$4=$D28,p_Aanbet+p_Belet+p_Opbouw,0)+IF(G$4=$M28,p_Slot,0),IF(G$4=$D28,N($L28),0))</f>
        <v>0</v>
      </c>
      <c r="H28" s="16" t="n">
        <f aca="false">IF($C28="Lease-koop",IF(H$4=$D28,p_Aanbet+p_Belet+p_Opbouw,0)+IF(H$4=$M28,p_Slot,0),IF(H$4=$D28,N($L28),0))</f>
        <v>0</v>
      </c>
      <c r="I28" s="16" t="n">
        <f aca="false">IF($C28="Lease-koop",IF(I$4=$D28,p_Aanbet+p_Belet+p_Opbouw,0)+IF(I$4=$M28,p_Slot,0),IF(I$4=$D28,N($L28),0))</f>
        <v>0</v>
      </c>
      <c r="J28" s="12" t="n">
        <v>10</v>
      </c>
      <c r="K28" s="6"/>
      <c r="L28" s="16" t="n">
        <v>51100</v>
      </c>
      <c r="M28" s="12" t="n">
        <f aca="false">IF($C28="Lease-koop",D28+p_SlotJr,IF($C28="Koop",D28,0))</f>
        <v>2034</v>
      </c>
      <c r="N28" s="16" t="n">
        <f aca="false">IF($C28="Lease-koop",p_Lease,0)</f>
        <v>0</v>
      </c>
      <c r="O28" s="8"/>
      <c r="P28" s="2"/>
    </row>
    <row r="29" customFormat="false" ht="15" hidden="false" customHeight="false" outlineLevel="0" collapsed="false">
      <c r="A29" s="8" t="s">
        <v>190</v>
      </c>
      <c r="B29" s="2" t="s">
        <v>144</v>
      </c>
      <c r="C29" s="8" t="s">
        <v>84</v>
      </c>
      <c r="D29" s="12" t="n">
        <v>2034</v>
      </c>
      <c r="E29" s="12" t="n">
        <f aca="false">IF($C29="Lease-koop",D29+p_Lev,IF($C29="Koop",D29+J29,0))</f>
        <v>2042</v>
      </c>
      <c r="F29" s="16" t="n">
        <f aca="false">IF($C29="Lease-koop",IF(F$4=$D29,p_Aanbet+p_Belet+p_Opbouw,0)+IF(F$4=$M29,p_Slot,0),IF(F$4=$D29,N($L29),0))</f>
        <v>0</v>
      </c>
      <c r="G29" s="16" t="n">
        <f aca="false">IF($C29="Lease-koop",IF(G$4=$D29,p_Aanbet+p_Belet+p_Opbouw,0)+IF(G$4=$M29,p_Slot,0),IF(G$4=$D29,N($L29),0))</f>
        <v>0</v>
      </c>
      <c r="H29" s="16" t="n">
        <f aca="false">IF($C29="Lease-koop",IF(H$4=$D29,p_Aanbet+p_Belet+p_Opbouw,0)+IF(H$4=$M29,p_Slot,0),IF(H$4=$D29,N($L29),0))</f>
        <v>0</v>
      </c>
      <c r="I29" s="16" t="n">
        <f aca="false">IF($C29="Lease-koop",IF(I$4=$D29,p_Aanbet+p_Belet+p_Opbouw,0)+IF(I$4=$M29,p_Slot,0),IF(I$4=$D29,N($L29),0))</f>
        <v>0</v>
      </c>
      <c r="J29" s="12" t="n">
        <f aca="false">p_Afschr</f>
        <v>6</v>
      </c>
      <c r="K29" s="6"/>
      <c r="L29" s="16" t="n">
        <f aca="false">p_Aanbet+p_Belet+p_Opbouw+p_Slot</f>
        <v>57000</v>
      </c>
      <c r="M29" s="12" t="n">
        <f aca="false">IF($C29="Lease-koop",D29+p_SlotJr,IF($C29="Koop",D29,0))</f>
        <v>2036</v>
      </c>
      <c r="N29" s="16" t="n">
        <f aca="false">IF($C29="Lease-koop",p_Lease,0)</f>
        <v>12000</v>
      </c>
      <c r="O29" s="8"/>
      <c r="P29" s="2"/>
    </row>
    <row r="30" customFormat="false" ht="15" hidden="false" customHeight="false" outlineLevel="0" collapsed="false">
      <c r="A30" s="8" t="s">
        <v>191</v>
      </c>
      <c r="B30" s="2" t="s">
        <v>68</v>
      </c>
      <c r="C30" s="8" t="s">
        <v>63</v>
      </c>
      <c r="D30" s="12" t="n">
        <v>2035</v>
      </c>
      <c r="E30" s="12" t="n">
        <f aca="false">IF($C30="Lease-koop",D30+p_Lev,IF($C30="Koop",D30+J30,0))</f>
        <v>2047</v>
      </c>
      <c r="F30" s="16" t="n">
        <f aca="false">IF($C30="Lease-koop",IF(F$4=$D30,p_Aanbet+p_Belet+p_Opbouw,0)+IF(F$4=$M30,p_Slot,0),IF(F$4=$D30,N($L30),0))</f>
        <v>0</v>
      </c>
      <c r="G30" s="16" t="n">
        <f aca="false">IF($C30="Lease-koop",IF(G$4=$D30,p_Aanbet+p_Belet+p_Opbouw,0)+IF(G$4=$M30,p_Slot,0),IF(G$4=$D30,N($L30),0))</f>
        <v>0</v>
      </c>
      <c r="H30" s="16" t="n">
        <f aca="false">IF($C30="Lease-koop",IF(H$4=$D30,p_Aanbet+p_Belet+p_Opbouw,0)+IF(H$4=$M30,p_Slot,0),IF(H$4=$D30,N($L30),0))</f>
        <v>0</v>
      </c>
      <c r="I30" s="16" t="n">
        <f aca="false">IF($C30="Lease-koop",IF(I$4=$D30,p_Aanbet+p_Belet+p_Opbouw,0)+IF(I$4=$M30,p_Slot,0),IF(I$4=$D30,N($L30),0))</f>
        <v>0</v>
      </c>
      <c r="J30" s="12" t="n">
        <v>12</v>
      </c>
      <c r="K30" s="6"/>
      <c r="L30" s="16" t="n">
        <v>358180</v>
      </c>
      <c r="M30" s="12" t="n">
        <f aca="false">IF($C30="Lease-koop",D30+p_SlotJr,IF($C30="Koop",D30,0))</f>
        <v>2035</v>
      </c>
      <c r="N30" s="16" t="n">
        <f aca="false">IF($C30="Lease-koop",p_Lease,0)</f>
        <v>0</v>
      </c>
      <c r="O30" s="8"/>
      <c r="P30" s="2"/>
    </row>
    <row r="31" customFormat="false" ht="15" hidden="false" customHeight="false" outlineLevel="0" collapsed="false">
      <c r="A31" s="8" t="s">
        <v>192</v>
      </c>
      <c r="B31" s="2" t="s">
        <v>116</v>
      </c>
      <c r="C31" s="8" t="s">
        <v>63</v>
      </c>
      <c r="D31" s="12" t="n">
        <v>2038</v>
      </c>
      <c r="E31" s="12" t="n">
        <f aca="false">IF($C31="Lease-koop",D31+p_Lev,IF($C31="Koop",D31+J31,0))</f>
        <v>2053</v>
      </c>
      <c r="F31" s="16" t="n">
        <f aca="false">IF($C31="Lease-koop",IF(F$4=$D31,p_Aanbet+p_Belet+p_Opbouw,0)+IF(F$4=$M31,p_Slot,0),IF(F$4=$D31,N($L31),0))</f>
        <v>0</v>
      </c>
      <c r="G31" s="16" t="n">
        <f aca="false">IF($C31="Lease-koop",IF(G$4=$D31,p_Aanbet+p_Belet+p_Opbouw,0)+IF(G$4=$M31,p_Slot,0),IF(G$4=$D31,N($L31),0))</f>
        <v>0</v>
      </c>
      <c r="H31" s="16" t="n">
        <f aca="false">IF($C31="Lease-koop",IF(H$4=$D31,p_Aanbet+p_Belet+p_Opbouw,0)+IF(H$4=$M31,p_Slot,0),IF(H$4=$D31,N($L31),0))</f>
        <v>0</v>
      </c>
      <c r="I31" s="16" t="n">
        <f aca="false">IF($C31="Lease-koop",IF(I$4=$D31,p_Aanbet+p_Belet+p_Opbouw,0)+IF(I$4=$M31,p_Slot,0),IF(I$4=$D31,N($L31),0))</f>
        <v>0</v>
      </c>
      <c r="J31" s="12" t="n">
        <v>15</v>
      </c>
      <c r="K31" s="6"/>
      <c r="L31" s="16" t="n">
        <v>121968</v>
      </c>
      <c r="M31" s="12" t="n">
        <f aca="false">IF($C31="Lease-koop",D31+p_SlotJr,IF($C31="Koop",D31,0))</f>
        <v>2038</v>
      </c>
      <c r="N31" s="16" t="n">
        <f aca="false">IF($C31="Lease-koop",p_Lease,0)</f>
        <v>0</v>
      </c>
      <c r="O31" s="8"/>
      <c r="P31" s="2"/>
    </row>
    <row r="33" customFormat="false" ht="15" hidden="false" customHeight="false" outlineLevel="0" collapsed="false">
      <c r="A33" s="17" t="s">
        <v>193</v>
      </c>
      <c r="B33" s="18"/>
      <c r="C33" s="18"/>
      <c r="D33" s="18"/>
      <c r="E33" s="18"/>
      <c r="F33" s="14" t="n">
        <f aca="false">SUM(F5:F31)</f>
        <v>190000</v>
      </c>
      <c r="G33" s="14" t="n">
        <f aca="false">SUM(G5:G31)</f>
        <v>50000</v>
      </c>
      <c r="H33" s="14" t="n">
        <f aca="false">SUM(H5:H31)</f>
        <v>297000</v>
      </c>
      <c r="I33" s="14" t="n">
        <f aca="false">SUM(I5:I31)</f>
        <v>0</v>
      </c>
      <c r="J33" s="18"/>
      <c r="K33" s="18"/>
      <c r="L33" s="14" t="n">
        <f aca="false">SUM(L5:L31)</f>
        <v>2055208</v>
      </c>
      <c r="M33" s="18"/>
      <c r="N33" s="18"/>
      <c r="O33" s="18"/>
      <c r="P33" s="18"/>
    </row>
    <row r="35" customFormat="false" ht="15" hidden="false" customHeight="false" outlineLevel="0" collapsed="false">
      <c r="A35" s="3" t="s">
        <v>150</v>
      </c>
    </row>
    <row r="36" customFormat="false" ht="15" hidden="false" customHeight="false" outlineLevel="0" collapsed="false">
      <c r="A36" s="5" t="s">
        <v>194</v>
      </c>
    </row>
    <row r="37" customFormat="false" ht="15" hidden="false" customHeight="false" outlineLevel="0" collapsed="false">
      <c r="A37" s="5" t="s">
        <v>195</v>
      </c>
    </row>
    <row r="38" customFormat="false" ht="15" hidden="false" customHeight="false" outlineLevel="0" collapsed="false">
      <c r="A38" s="5" t="s">
        <v>196</v>
      </c>
    </row>
    <row r="39" customFormat="false" ht="15" hidden="false" customHeight="false" outlineLevel="0" collapsed="false">
      <c r="A39" s="5" t="s">
        <v>197</v>
      </c>
    </row>
    <row r="41" customFormat="false" ht="15" hidden="false" customHeight="false" outlineLevel="0" collapsed="false">
      <c r="A41" s="3" t="s">
        <v>198</v>
      </c>
    </row>
    <row r="42" customFormat="false" ht="15" hidden="false" customHeight="false" outlineLevel="0" collapsed="false">
      <c r="A42" s="2" t="s">
        <v>199</v>
      </c>
      <c r="C42" s="19" t="n">
        <v>10000</v>
      </c>
    </row>
    <row r="43" customFormat="false" ht="15" hidden="false" customHeight="false" outlineLevel="0" collapsed="false">
      <c r="A43" s="2" t="s">
        <v>200</v>
      </c>
      <c r="C43" s="19" t="n">
        <v>5000</v>
      </c>
    </row>
    <row r="44" customFormat="false" ht="15" hidden="false" customHeight="false" outlineLevel="0" collapsed="false">
      <c r="A44" s="2" t="s">
        <v>201</v>
      </c>
      <c r="C44" s="19" t="n">
        <v>7000</v>
      </c>
    </row>
    <row r="45" customFormat="false" ht="15" hidden="false" customHeight="false" outlineLevel="0" collapsed="false">
      <c r="A45" s="2" t="s">
        <v>202</v>
      </c>
      <c r="C45" s="19" t="n">
        <v>35000</v>
      </c>
    </row>
    <row r="46" customFormat="false" ht="15" hidden="false" customHeight="false" outlineLevel="0" collapsed="false">
      <c r="A46" s="2" t="s">
        <v>203</v>
      </c>
      <c r="C46" s="20" t="n">
        <v>2</v>
      </c>
    </row>
    <row r="47" customFormat="false" ht="15" hidden="false" customHeight="false" outlineLevel="0" collapsed="false">
      <c r="A47" s="2" t="s">
        <v>204</v>
      </c>
      <c r="C47" s="20" t="n">
        <v>8</v>
      </c>
    </row>
    <row r="48" customFormat="false" ht="15" hidden="false" customHeight="false" outlineLevel="0" collapsed="false">
      <c r="A48" s="2" t="s">
        <v>205</v>
      </c>
      <c r="C48" s="20" t="n">
        <v>6</v>
      </c>
    </row>
    <row r="49" customFormat="false" ht="15" hidden="false" customHeight="false" outlineLevel="0" collapsed="false">
      <c r="A49" s="2" t="s">
        <v>161</v>
      </c>
      <c r="C49" s="19" t="n">
        <v>12000</v>
      </c>
    </row>
  </sheetData>
  <autoFilter ref="A4:P31"/>
  <dataValidations count="1">
    <dataValidation allowBlank="true" errorStyle="stop" operator="between" showDropDown="false" showErrorMessage="false" showInputMessage="false" sqref="C5:C300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28"/>
    <col collapsed="false" customWidth="true" hidden="false" outlineLevel="0" max="6" min="5" style="0" width="14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206</v>
      </c>
    </row>
    <row r="4" customFormat="false" ht="45" hidden="false" customHeight="true" outlineLevel="0" collapsed="false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50</v>
      </c>
      <c r="F4" s="11" t="s">
        <v>207</v>
      </c>
      <c r="G4" s="11" t="s">
        <v>54</v>
      </c>
    </row>
    <row r="5" customFormat="false" ht="15" hidden="false" customHeight="false" outlineLevel="0" collapsed="false">
      <c r="A5" s="8" t="s">
        <v>208</v>
      </c>
      <c r="B5" s="8"/>
      <c r="C5" s="8" t="s">
        <v>209</v>
      </c>
      <c r="D5" s="2" t="s">
        <v>83</v>
      </c>
      <c r="E5" s="12" t="n">
        <v>2014</v>
      </c>
      <c r="F5" s="9" t="n">
        <v>2026</v>
      </c>
      <c r="G5" s="8"/>
    </row>
    <row r="6" customFormat="false" ht="15" hidden="false" customHeight="false" outlineLevel="0" collapsed="false">
      <c r="A6" s="8" t="s">
        <v>210</v>
      </c>
      <c r="B6" s="8"/>
      <c r="C6" s="8" t="s">
        <v>211</v>
      </c>
      <c r="D6" s="2" t="s">
        <v>113</v>
      </c>
      <c r="E6" s="12" t="n">
        <v>2018</v>
      </c>
      <c r="F6" s="9" t="n">
        <v>2026</v>
      </c>
      <c r="G6" s="8"/>
    </row>
    <row r="7" customFormat="false" ht="15" hidden="false" customHeight="false" outlineLevel="0" collapsed="false">
      <c r="A7" s="8" t="s">
        <v>212</v>
      </c>
      <c r="B7" s="8"/>
      <c r="C7" s="8" t="s">
        <v>213</v>
      </c>
      <c r="D7" s="2" t="s">
        <v>116</v>
      </c>
      <c r="E7" s="12" t="n">
        <v>2013</v>
      </c>
      <c r="F7" s="9" t="n">
        <v>2026</v>
      </c>
      <c r="G7" s="8"/>
    </row>
    <row r="8" customFormat="false" ht="15" hidden="false" customHeight="false" outlineLevel="0" collapsed="false">
      <c r="A8" s="8" t="s">
        <v>214</v>
      </c>
      <c r="B8" s="8" t="n">
        <v>7205049</v>
      </c>
      <c r="C8" s="8" t="s">
        <v>215</v>
      </c>
      <c r="D8" s="2" t="s">
        <v>144</v>
      </c>
      <c r="E8" s="12" t="n">
        <v>2017</v>
      </c>
      <c r="F8" s="9" t="n">
        <v>2026</v>
      </c>
      <c r="G8" s="8"/>
    </row>
    <row r="9" customFormat="false" ht="15" hidden="false" customHeight="false" outlineLevel="0" collapsed="false">
      <c r="A9" s="8" t="s">
        <v>216</v>
      </c>
      <c r="B9" s="8"/>
      <c r="C9" s="8" t="s">
        <v>217</v>
      </c>
      <c r="D9" s="2" t="s">
        <v>75</v>
      </c>
      <c r="E9" s="12" t="n">
        <v>2007</v>
      </c>
      <c r="F9" s="9" t="n">
        <v>2026</v>
      </c>
      <c r="G9" s="8"/>
    </row>
    <row r="10" customFormat="false" ht="15" hidden="false" customHeight="false" outlineLevel="0" collapsed="false">
      <c r="A10" s="8" t="s">
        <v>218</v>
      </c>
      <c r="B10" s="8"/>
      <c r="C10" s="8" t="s">
        <v>219</v>
      </c>
      <c r="D10" s="2" t="s">
        <v>79</v>
      </c>
      <c r="E10" s="12" t="n">
        <v>2006</v>
      </c>
      <c r="F10" s="21"/>
      <c r="G10" s="8" t="s">
        <v>220</v>
      </c>
    </row>
    <row r="11" customFormat="false" ht="15" hidden="false" customHeight="false" outlineLevel="0" collapsed="false">
      <c r="A11" s="8" t="s">
        <v>221</v>
      </c>
      <c r="B11" s="8"/>
      <c r="C11" s="8" t="s">
        <v>222</v>
      </c>
      <c r="D11" s="2" t="s">
        <v>223</v>
      </c>
      <c r="E11" s="12" t="n">
        <v>2015</v>
      </c>
      <c r="F11" s="21"/>
      <c r="G11" s="8" t="s">
        <v>224</v>
      </c>
    </row>
    <row r="12" customFormat="false" ht="15" hidden="false" customHeight="false" outlineLevel="0" collapsed="false">
      <c r="A12" s="8" t="s">
        <v>225</v>
      </c>
      <c r="B12" s="8"/>
      <c r="C12" s="8" t="s">
        <v>226</v>
      </c>
      <c r="D12" s="2" t="s">
        <v>110</v>
      </c>
      <c r="E12" s="12" t="n">
        <v>2013</v>
      </c>
      <c r="F12" s="9" t="n">
        <v>2027</v>
      </c>
      <c r="G12" s="8"/>
    </row>
    <row r="13" customFormat="false" ht="15" hidden="false" customHeight="false" outlineLevel="0" collapsed="false">
      <c r="A13" s="8" t="s">
        <v>227</v>
      </c>
      <c r="B13" s="8"/>
      <c r="C13" s="8" t="s">
        <v>228</v>
      </c>
      <c r="D13" s="2" t="s">
        <v>120</v>
      </c>
      <c r="E13" s="12" t="n">
        <v>2013</v>
      </c>
      <c r="F13" s="9" t="n">
        <v>2025</v>
      </c>
      <c r="G13" s="8"/>
    </row>
    <row r="14" customFormat="false" ht="15" hidden="false" customHeight="false" outlineLevel="0" collapsed="false">
      <c r="A14" s="8" t="s">
        <v>229</v>
      </c>
      <c r="B14" s="8"/>
      <c r="C14" s="8" t="s">
        <v>230</v>
      </c>
      <c r="D14" s="2" t="s">
        <v>83</v>
      </c>
      <c r="E14" s="12" t="n">
        <v>2013</v>
      </c>
      <c r="F14" s="9" t="n">
        <v>2027</v>
      </c>
      <c r="G14" s="8"/>
    </row>
    <row r="15" customFormat="false" ht="15" hidden="false" customHeight="false" outlineLevel="0" collapsed="false">
      <c r="A15" s="8" t="s">
        <v>231</v>
      </c>
      <c r="B15" s="8"/>
      <c r="C15" s="8" t="s">
        <v>232</v>
      </c>
      <c r="D15" s="2" t="s">
        <v>88</v>
      </c>
      <c r="E15" s="12" t="n">
        <v>2013</v>
      </c>
      <c r="F15" s="21"/>
      <c r="G15" s="8" t="s">
        <v>233</v>
      </c>
    </row>
    <row r="17" customFormat="false" ht="15" hidden="false" customHeight="false" outlineLevel="0" collapsed="false">
      <c r="A17" s="5" t="s">
        <v>234</v>
      </c>
    </row>
  </sheetData>
  <autoFilter ref="A4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2026-10-30T10:45:31Z</dcterms:created>
  <dc:creator>openpyxl</dc:creator>
  <dc:description/>
  <dc:language>en-US</dc:language>
  <cp:lastModifiedBy/>
  <dcterms:modified xsi:type="dcterms:W3CDTF">2026-10-30T10:45:31Z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